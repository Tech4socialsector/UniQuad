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on Foundation" sheetId="2" state="visible" r:id="rId2"/>
    <sheet xmlns:r="http://schemas.openxmlformats.org/officeDocument/2006/relationships" name="Student Portal" sheetId="3" state="visible" r:id="rId3"/>
    <sheet xmlns:r="http://schemas.openxmlformats.org/officeDocument/2006/relationships" name="Faculty Portal" sheetId="4" state="visible" r:id="rId4"/>
    <sheet xmlns:r="http://schemas.openxmlformats.org/officeDocument/2006/relationships" name="Parent Portal" sheetId="5" state="visible" r:id="rId5"/>
    <sheet xmlns:r="http://schemas.openxmlformats.org/officeDocument/2006/relationships" name="Assumptions &amp; Risks" sheetId="6" state="visible" r:id="rId6"/>
  </sheets>
  <definedNames>
    <definedName name="_xlnm._FilterDatabase" localSheetId="1" hidden="1">'Common Foundation'!$A$4:$K$17</definedName>
    <definedName name="_xlnm._FilterDatabase" localSheetId="2" hidden="1">'Student Portal'!$A$4:$K$27</definedName>
    <definedName name="_xlnm._FilterDatabase" localSheetId="3" hidden="1">'Faculty Portal'!$A$4:$K$15</definedName>
    <definedName name="_xlnm._FilterDatabase" localSheetId="4" hidden="1">'Parent Portal'!$A$4:$K$16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x"/>
  </numFmts>
  <fonts count="10">
    <font>
      <name val="Calibri"/>
      <family val="2"/>
      <color theme="1"/>
      <sz val="11"/>
      <scheme val="minor"/>
    </font>
    <font>
      <name val="Arial"/>
      <b val="1"/>
      <color rgb="006B091A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6B091A"/>
      <sz val="16"/>
    </font>
    <font>
      <name val="Arial"/>
      <b val="1"/>
      <sz val="11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6B091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9" fontId="5" fillId="3" borderId="1" pivotButton="0" quotePrefix="0" xfId="0"/>
    <xf numFmtId="1" fontId="5" fillId="3" borderId="1" pivotButton="0" quotePrefix="0" xfId="0"/>
    <xf numFmtId="165" fontId="5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9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" fillId="0" borderId="0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0" fillId="5" borderId="1" pivotButton="0" quotePrefix="0" xfId="0"/>
    <xf numFmtId="0" fontId="4" fillId="6" borderId="1" applyAlignment="1" pivotButton="0" quotePrefix="0" xfId="0">
      <alignment horizontal="center"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5" customWidth="1" min="5" max="5"/>
    <col width="12" customWidth="1" min="6" max="6"/>
    <col width="12" customWidth="1" min="7" max="7"/>
    <col width="13" customWidth="1" min="8" max="8"/>
    <col width="12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SLCM Mobile App (Flutter): Effort Estimation Summary</t>
        </is>
      </c>
    </row>
    <row r="2">
      <c r="A2" s="2" t="inlineStr">
        <is>
          <t>Team: 2 junior developers covering Flutter, backend and testing. Effort is in person-days: one person working one day. Prepared 15 Oct 2026.</t>
        </is>
      </c>
    </row>
    <row r="4">
      <c r="A4" s="3" t="inlineStr">
        <is>
          <t>Assumptions (edit the yellow cells)</t>
        </is>
      </c>
    </row>
    <row r="5">
      <c r="A5" s="4" t="inlineStr">
        <is>
          <t>UAT support &amp; bug-fix allowance</t>
        </is>
      </c>
      <c r="B5" s="5" t="n">
        <v>0.1</v>
      </c>
      <c r="C5" s="2" t="inlineStr">
        <is>
          <t>Share of base effort for UAT rounds and fixes.</t>
        </is>
      </c>
    </row>
    <row r="6">
      <c r="A6" s="4" t="inlineStr">
        <is>
          <t>Project coordination &amp; meetings</t>
        </is>
      </c>
      <c r="B6" s="5" t="n">
        <v>0.1</v>
      </c>
      <c r="C6" s="2" t="inlineStr">
        <is>
          <t>Share of base effort for stand-ups, reviews, coordination.</t>
        </is>
      </c>
    </row>
    <row r="7">
      <c r="A7" s="4" t="inlineStr">
        <is>
          <t>Contingency</t>
        </is>
      </c>
      <c r="B7" s="5" t="n">
        <v>0.15</v>
      </c>
      <c r="C7" s="2" t="inlineStr">
        <is>
          <t>Buffer for unknowns: unclear scope (e.g. Gate Entry), store review delays.</t>
        </is>
      </c>
    </row>
    <row r="8">
      <c r="A8" s="4" t="inlineStr">
        <is>
          <t>Team size (developers)</t>
        </is>
      </c>
      <c r="B8" s="6" t="n">
        <v>2</v>
      </c>
      <c r="C8" s="2" t="inlineStr">
        <is>
          <t>Both developers share Flutter, backend and testing work.</t>
        </is>
      </c>
    </row>
    <row r="9">
      <c r="A9" s="4" t="inlineStr">
        <is>
          <t>Junior productivity factor</t>
        </is>
      </c>
      <c r="B9" s="7" t="n">
        <v>1.5</v>
      </c>
      <c r="C9" s="2" t="inlineStr">
        <is>
          <t>Base estimates assume an experienced developer. Juniors typically take 1.5x to 2x as long.</t>
        </is>
      </c>
    </row>
    <row r="10">
      <c r="A10" s="4" t="inlineStr">
        <is>
          <t>Ramp-up / learning days per person</t>
        </is>
      </c>
      <c r="B10" s="6" t="n">
        <v>10</v>
      </c>
      <c r="C10" s="2" t="inlineStr">
        <is>
          <t>Learning Flutter, Frappe APIs, Razorpay SDK and store release before productive work.</t>
        </is>
      </c>
    </row>
    <row r="11">
      <c r="A11" s="4" t="inlineStr">
        <is>
          <t>Working days per month</t>
        </is>
      </c>
      <c r="B11" s="6" t="n">
        <v>21</v>
      </c>
      <c r="C11" s="2" t="inlineStr"/>
    </row>
    <row r="13">
      <c r="A13" s="3" t="inlineStr">
        <is>
          <t>Effort by module (person-days)</t>
        </is>
      </c>
    </row>
    <row r="14" ht="44" customHeight="1">
      <c r="A14" s="8" t="inlineStr">
        <is>
          <t>Module</t>
        </is>
      </c>
      <c r="B14" s="8" t="inlineStr">
        <is>
          <t>Features</t>
        </is>
      </c>
      <c r="C14" s="8" t="inlineStr">
        <is>
          <t>Flutter UI</t>
        </is>
      </c>
      <c r="D14" s="8" t="inlineStr">
        <is>
          <t>Backend / API</t>
        </is>
      </c>
      <c r="E14" s="8" t="inlineStr">
        <is>
          <t>QA &amp; Integration</t>
        </is>
      </c>
      <c r="F14" s="8" t="inlineStr">
        <is>
          <t>Base effort</t>
        </is>
      </c>
      <c r="G14" s="8" t="inlineStr">
        <is>
          <t>UAT &amp; bug-fix</t>
        </is>
      </c>
      <c r="H14" s="8" t="inlineStr">
        <is>
          <t>Coordination</t>
        </is>
      </c>
      <c r="I14" s="8" t="inlineStr">
        <is>
          <t>Contingency</t>
        </is>
      </c>
      <c r="J14" s="8" t="inlineStr">
        <is>
          <t>Total (experienced developer)</t>
        </is>
      </c>
      <c r="K14" s="8" t="inlineStr">
        <is>
          <t>Total for junior team</t>
        </is>
      </c>
      <c r="L14" s="8" t="inlineStr">
        <is>
          <t>Calendar months (team of 2)</t>
        </is>
      </c>
    </row>
    <row r="15">
      <c r="A15" s="9" t="inlineStr">
        <is>
          <t>Common Foundation</t>
        </is>
      </c>
      <c r="B15" s="9" t="n">
        <v>13</v>
      </c>
      <c r="C15" s="10">
        <f>'Common Foundation'!G18</f>
        <v/>
      </c>
      <c r="D15" s="10">
        <f>'Common Foundation'!H18</f>
        <v/>
      </c>
      <c r="E15" s="10">
        <f>'Common Foundation'!I18</f>
        <v/>
      </c>
      <c r="F15" s="11">
        <f>SUM(C15:E15)</f>
        <v/>
      </c>
      <c r="G15" s="11">
        <f>F15*$B$5</f>
        <v/>
      </c>
      <c r="H15" s="11">
        <f>F15*$B$6</f>
        <v/>
      </c>
      <c r="I15" s="11">
        <f>F15*$B$7</f>
        <v/>
      </c>
      <c r="J15" s="11">
        <f>SUM(F15:I15)</f>
        <v/>
      </c>
      <c r="K15" s="11">
        <f>J15*$B$9</f>
        <v/>
      </c>
      <c r="L15" s="11">
        <f>K15/($B$8*$B$11)</f>
        <v/>
      </c>
    </row>
    <row r="16">
      <c r="A16" s="9" t="inlineStr">
        <is>
          <t>Student Portal</t>
        </is>
      </c>
      <c r="B16" s="9" t="n">
        <v>23</v>
      </c>
      <c r="C16" s="10">
        <f>'Student Portal'!G28</f>
        <v/>
      </c>
      <c r="D16" s="10">
        <f>'Student Portal'!H28</f>
        <v/>
      </c>
      <c r="E16" s="10">
        <f>'Student Portal'!I28</f>
        <v/>
      </c>
      <c r="F16" s="11">
        <f>SUM(C16:E16)</f>
        <v/>
      </c>
      <c r="G16" s="11">
        <f>F16*$B$5</f>
        <v/>
      </c>
      <c r="H16" s="11">
        <f>F16*$B$6</f>
        <v/>
      </c>
      <c r="I16" s="11">
        <f>F16*$B$7</f>
        <v/>
      </c>
      <c r="J16" s="11">
        <f>SUM(F16:I16)</f>
        <v/>
      </c>
      <c r="K16" s="11">
        <f>J16*$B$9</f>
        <v/>
      </c>
      <c r="L16" s="11">
        <f>K16/($B$8*$B$11)</f>
        <v/>
      </c>
    </row>
    <row r="17">
      <c r="A17" s="9" t="inlineStr">
        <is>
          <t>Faculty Portal</t>
        </is>
      </c>
      <c r="B17" s="9" t="n">
        <v>11</v>
      </c>
      <c r="C17" s="10">
        <f>'Faculty Portal'!G16</f>
        <v/>
      </c>
      <c r="D17" s="10">
        <f>'Faculty Portal'!H16</f>
        <v/>
      </c>
      <c r="E17" s="10">
        <f>'Faculty Portal'!I16</f>
        <v/>
      </c>
      <c r="F17" s="11">
        <f>SUM(C17:E17)</f>
        <v/>
      </c>
      <c r="G17" s="11">
        <f>F17*$B$5</f>
        <v/>
      </c>
      <c r="H17" s="11">
        <f>F17*$B$6</f>
        <v/>
      </c>
      <c r="I17" s="11">
        <f>F17*$B$7</f>
        <v/>
      </c>
      <c r="J17" s="11">
        <f>SUM(F17:I17)</f>
        <v/>
      </c>
      <c r="K17" s="11">
        <f>J17*$B$9</f>
        <v/>
      </c>
      <c r="L17" s="11">
        <f>K17/($B$8*$B$11)</f>
        <v/>
      </c>
    </row>
    <row r="18">
      <c r="A18" s="9" t="inlineStr">
        <is>
          <t>Parent Portal</t>
        </is>
      </c>
      <c r="B18" s="9" t="n">
        <v>12</v>
      </c>
      <c r="C18" s="10">
        <f>'Parent Portal'!G17</f>
        <v/>
      </c>
      <c r="D18" s="10">
        <f>'Parent Portal'!H17</f>
        <v/>
      </c>
      <c r="E18" s="10">
        <f>'Parent Portal'!I17</f>
        <v/>
      </c>
      <c r="F18" s="11">
        <f>SUM(C18:E18)</f>
        <v/>
      </c>
      <c r="G18" s="11">
        <f>F18*$B$5</f>
        <v/>
      </c>
      <c r="H18" s="11">
        <f>F18*$B$6</f>
        <v/>
      </c>
      <c r="I18" s="11">
        <f>F18*$B$7</f>
        <v/>
      </c>
      <c r="J18" s="11">
        <f>SUM(F18:I18)</f>
        <v/>
      </c>
      <c r="K18" s="11">
        <f>J18*$B$9</f>
        <v/>
      </c>
      <c r="L18" s="11">
        <f>K18/($B$8*$B$11)</f>
        <v/>
      </c>
    </row>
    <row r="19">
      <c r="A19" s="9" t="inlineStr">
        <is>
          <t>Ramp-up &amp; learning (both developers)</t>
        </is>
      </c>
      <c r="B19" s="9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>
        <f>$B$8*$B$10</f>
        <v/>
      </c>
      <c r="L19" s="11">
        <f>K19/($B$8*$B$11)</f>
        <v/>
      </c>
    </row>
    <row r="20">
      <c r="A20" s="12" t="inlineStr">
        <is>
          <t>Grand total</t>
        </is>
      </c>
      <c r="B20" s="13">
        <f>SUM(B15:B19)</f>
        <v/>
      </c>
      <c r="C20" s="14">
        <f>SUM(C15:C19)</f>
        <v/>
      </c>
      <c r="D20" s="14">
        <f>SUM(D15:D19)</f>
        <v/>
      </c>
      <c r="E20" s="14">
        <f>SUM(E15:E19)</f>
        <v/>
      </c>
      <c r="F20" s="14">
        <f>SUM(F15:F19)</f>
        <v/>
      </c>
      <c r="G20" s="14">
        <f>SUM(G15:G19)</f>
        <v/>
      </c>
      <c r="H20" s="14">
        <f>SUM(H15:H19)</f>
        <v/>
      </c>
      <c r="I20" s="14">
        <f>SUM(I15:I19)</f>
        <v/>
      </c>
      <c r="J20" s="14">
        <f>SUM(J15:J19)</f>
        <v/>
      </c>
      <c r="K20" s="14">
        <f>SUM(K15:K19)</f>
        <v/>
      </c>
      <c r="L20" s="14">
        <f>SUM(L15:L19)</f>
        <v/>
      </c>
    </row>
    <row r="21">
      <c r="A21" s="2" t="inlineStr">
        <is>
          <t>Total for junior team = experienced-developer total x junior factor. Calendar months = junior-team days / (team size x working days per month).</t>
        </is>
      </c>
    </row>
    <row r="23">
      <c r="A23" s="3" t="inlineStr">
        <is>
          <t>Headline</t>
        </is>
      </c>
    </row>
    <row r="24">
      <c r="A24" s="12" t="inlineStr">
        <is>
          <t>Total effort for the junior team (person-days)</t>
        </is>
      </c>
      <c r="B24" s="14">
        <f>K20</f>
        <v/>
      </c>
    </row>
    <row r="25">
      <c r="A25" s="12" t="inlineStr">
        <is>
          <t>Calendar duration with 2 developers (months)</t>
        </is>
      </c>
      <c r="B25" s="14">
        <f>L20</f>
        <v/>
      </c>
    </row>
    <row r="26">
      <c r="A26" s="12" t="inlineStr">
        <is>
          <t>Calendar duration with 2 developers (weeks)</t>
        </is>
      </c>
      <c r="B26" s="14">
        <f>L20*21/5</f>
        <v/>
      </c>
    </row>
    <row r="28">
      <c r="A28" s="3" t="inlineStr">
        <is>
          <t>Phased plan (both developers work through the phases in order)</t>
        </is>
      </c>
    </row>
    <row r="29" ht="30" customHeight="1">
      <c r="A29" s="8" t="inlineStr">
        <is>
          <t>Phase</t>
        </is>
      </c>
      <c r="B29" s="8" t="inlineStr">
        <is>
          <t>Effort for junior team (days)</t>
        </is>
      </c>
      <c r="C29" s="8" t="inlineStr">
        <is>
          <t>Calendar months</t>
        </is>
      </c>
      <c r="D29" s="8" t="inlineStr">
        <is>
          <t>Cumulative months</t>
        </is>
      </c>
      <c r="E29" s="8" t="inlineStr">
        <is>
          <t>Outcome</t>
        </is>
      </c>
    </row>
    <row r="30">
      <c r="A30" s="9" t="inlineStr">
        <is>
          <t>Phase 0: Ramp-up + Common Foundation</t>
        </is>
      </c>
      <c r="B30" s="11">
        <f>K19+K15</f>
        <v/>
      </c>
      <c r="C30" s="11">
        <f>B30/($B$8*$B$11)</f>
        <v/>
      </c>
      <c r="D30" s="11">
        <f>SUM($C$30:C30)</f>
        <v/>
      </c>
      <c r="E30" s="9" t="inlineStr">
        <is>
          <t>Login, app shell, design, payments, notifications, helpdesk WebView ready.</t>
        </is>
      </c>
    </row>
    <row r="31">
      <c r="A31" s="9" t="inlineStr">
        <is>
          <t>Phase 1: Student Portal</t>
        </is>
      </c>
      <c r="B31" s="11">
        <f>K16</f>
        <v/>
      </c>
      <c r="C31" s="11">
        <f>B31/($B$8*$B$11)</f>
        <v/>
      </c>
      <c r="D31" s="11">
        <f>SUM($C$30:C31)</f>
        <v/>
      </c>
      <c r="E31" s="9" t="inlineStr">
        <is>
          <t>Student app can go live (first release).</t>
        </is>
      </c>
    </row>
    <row r="32">
      <c r="A32" s="9" t="inlineStr">
        <is>
          <t>Phase 2: Faculty Portal</t>
        </is>
      </c>
      <c r="B32" s="11">
        <f>K17</f>
        <v/>
      </c>
      <c r="C32" s="11">
        <f>B32/($B$8*$B$11)</f>
        <v/>
      </c>
      <c r="D32" s="11">
        <f>SUM($C$30:C32)</f>
        <v/>
      </c>
      <c r="E32" s="9" t="inlineStr">
        <is>
          <t>Faculty features released.</t>
        </is>
      </c>
    </row>
    <row r="33">
      <c r="A33" s="9" t="inlineStr">
        <is>
          <t>Phase 3: Parent Portal</t>
        </is>
      </c>
      <c r="B33" s="11">
        <f>K18</f>
        <v/>
      </c>
      <c r="C33" s="11">
        <f>B33/($B$8*$B$11)</f>
        <v/>
      </c>
      <c r="D33" s="11">
        <f>SUM($C$30:C33)</f>
        <v/>
      </c>
      <c r="E33" s="9" t="inlineStr">
        <is>
          <t>Full app with all three portals.</t>
        </is>
      </c>
    </row>
    <row r="36">
      <c r="A36" s="3" t="inlineStr">
        <is>
          <t>API readiness by module (feature count)</t>
        </is>
      </c>
    </row>
    <row r="37">
      <c r="A37" s="15" t="inlineStr">
        <is>
          <t>Module</t>
        </is>
      </c>
      <c r="B37" s="15" t="inlineStr">
        <is>
          <t>Ready</t>
        </is>
      </c>
      <c r="C37" s="15" t="inlineStr">
        <is>
          <t>Partial</t>
        </is>
      </c>
      <c r="D37" s="15" t="inlineStr">
        <is>
          <t>Missing</t>
        </is>
      </c>
    </row>
    <row r="38">
      <c r="A38" s="9" t="inlineStr">
        <is>
          <t>Student Portal</t>
        </is>
      </c>
      <c r="B38" s="16">
        <f>COUNTIF('Student Portal'!E:E,"Ready")</f>
        <v/>
      </c>
      <c r="C38" s="16">
        <f>COUNTIF('Student Portal'!E:E,"Partial")</f>
        <v/>
      </c>
      <c r="D38" s="16">
        <f>COUNTIF('Student Portal'!E:E,"Missing")</f>
        <v/>
      </c>
    </row>
    <row r="39">
      <c r="A39" s="9" t="inlineStr">
        <is>
          <t>Faculty Portal</t>
        </is>
      </c>
      <c r="B39" s="16">
        <f>COUNTIF('Faculty Portal'!E:E,"Ready")</f>
        <v/>
      </c>
      <c r="C39" s="16">
        <f>COUNTIF('Faculty Portal'!E:E,"Partial")</f>
        <v/>
      </c>
      <c r="D39" s="16">
        <f>COUNTIF('Faculty Portal'!E:E,"Missing")</f>
        <v/>
      </c>
    </row>
    <row r="40">
      <c r="A40" s="9" t="inlineStr">
        <is>
          <t>Parent Portal</t>
        </is>
      </c>
      <c r="B40" s="16">
        <f>COUNTIF('Parent Portal'!E:E,"Ready")</f>
        <v/>
      </c>
      <c r="C40" s="16">
        <f>COUNTIF('Parent Portal'!E:E,"Partial")</f>
        <v/>
      </c>
      <c r="D40" s="16">
        <f>COUNTIF('Parent Portal'!E:E,"Missing")</f>
        <v/>
      </c>
    </row>
    <row r="42">
      <c r="A42" s="2" t="inlineStr">
        <is>
          <t>Ready = JSON API exists. Partial = action API exists but list/read data is only in server-rendered get_context. Missing = no backend in the web portal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8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55" customWidth="1" min="11" max="11"/>
  </cols>
  <sheetData>
    <row r="1">
      <c r="A1" s="17" t="inlineStr">
        <is>
          <t>Common Foundation: Flutter Mobile App Effort Estimate</t>
        </is>
      </c>
    </row>
    <row r="2">
      <c r="A2" s="2" t="inlineStr">
        <is>
          <t>Effort in person-days. Yellow cells are estimates you can change; totals recalculate.</t>
        </is>
      </c>
    </row>
    <row r="4" ht="32" customHeight="1">
      <c r="A4" s="8" t="inlineStr">
        <is>
          <t>#</t>
        </is>
      </c>
      <c r="B4" s="8" t="inlineStr">
        <is>
          <t>Feature</t>
        </is>
      </c>
      <c r="C4" s="8" t="inlineStr">
        <is>
          <t>Web source</t>
        </is>
      </c>
      <c r="D4" s="8" t="inlineStr">
        <is>
          <t>Existing API(s)</t>
        </is>
      </c>
      <c r="E4" s="8" t="inlineStr">
        <is>
          <t>API readiness</t>
        </is>
      </c>
      <c r="F4" s="8" t="inlineStr">
        <is>
          <t>Complexity</t>
        </is>
      </c>
      <c r="G4" s="8" t="inlineStr">
        <is>
          <t>Flutter UI (days)</t>
        </is>
      </c>
      <c r="H4" s="8" t="inlineStr">
        <is>
          <t>Backend / API (days)</t>
        </is>
      </c>
      <c r="I4" s="8" t="inlineStr">
        <is>
          <t>QA &amp; Integration (days)</t>
        </is>
      </c>
      <c r="J4" s="8" t="inlineStr">
        <is>
          <t>Total (days)</t>
        </is>
      </c>
      <c r="K4" s="8" t="inlineStr">
        <is>
          <t>Notes</t>
        </is>
      </c>
    </row>
    <row r="5">
      <c r="A5" s="18" t="n">
        <v>1</v>
      </c>
      <c r="B5" s="19" t="inlineStr">
        <is>
          <t>Project setup, architecture, flavours (dev/UAT/prod), CI/CD</t>
        </is>
      </c>
      <c r="C5" s="19" t="inlineStr">
        <is>
          <t>-</t>
        </is>
      </c>
      <c r="D5" s="19" t="inlineStr">
        <is>
          <t>-</t>
        </is>
      </c>
      <c r="E5" s="18" t="inlineStr">
        <is>
          <t>-</t>
        </is>
      </c>
      <c r="F5" s="18" t="inlineStr">
        <is>
          <t>M</t>
        </is>
      </c>
      <c r="G5" s="20" t="n">
        <v>4</v>
      </c>
      <c r="H5" s="20" t="n">
        <v>0</v>
      </c>
      <c r="I5" s="20" t="n">
        <v>1</v>
      </c>
      <c r="J5" s="21">
        <f>SUM(G5:I5)</f>
        <v/>
      </c>
      <c r="K5" s="19" t="inlineStr">
        <is>
          <t>Flutter 3.x, Riverpod/Bloc, GoRouter, Codemagic or GitHub Actions builds for Android and iOS.</t>
        </is>
      </c>
    </row>
    <row r="6">
      <c r="A6" s="18" t="n">
        <v>2</v>
      </c>
      <c r="B6" s="19" t="inlineStr">
        <is>
          <t>Mobile UI/UX design: design system, theme, dark mode, shared widgets</t>
        </is>
      </c>
      <c r="C6" s="19" t="inlineStr">
        <is>
          <t>Existing web portal styling</t>
        </is>
      </c>
      <c r="D6" s="19" t="inlineStr">
        <is>
          <t>-</t>
        </is>
      </c>
      <c r="E6" s="18" t="inlineStr">
        <is>
          <t>-</t>
        </is>
      </c>
      <c r="F6" s="18" t="inlineStr">
        <is>
          <t>L</t>
        </is>
      </c>
      <c r="G6" s="20" t="n">
        <v>8</v>
      </c>
      <c r="H6" s="20" t="n">
        <v>0</v>
      </c>
      <c r="I6" s="20" t="n">
        <v>1</v>
      </c>
      <c r="J6" s="21">
        <f>SUM(G6:I6)</f>
        <v/>
      </c>
      <c r="K6" s="19" t="inlineStr">
        <is>
          <t>Includes Figma screens for ~45 screens and reusable cards, tables, calendar and form widgets.</t>
        </is>
      </c>
    </row>
    <row r="7">
      <c r="A7" s="18" t="n">
        <v>3</v>
      </c>
      <c r="B7" s="19" t="inlineStr">
        <is>
          <t>API client layer: Dio, Frappe auth headers, error handling, pagination, models</t>
        </is>
      </c>
      <c r="C7" s="19" t="inlineStr">
        <is>
          <t>-</t>
        </is>
      </c>
      <c r="D7" s="19" t="inlineStr">
        <is>
          <t>-</t>
        </is>
      </c>
      <c r="E7" s="18" t="inlineStr">
        <is>
          <t>-</t>
        </is>
      </c>
      <c r="F7" s="18" t="inlineStr">
        <is>
          <t>M</t>
        </is>
      </c>
      <c r="G7" s="20" t="n">
        <v>4</v>
      </c>
      <c r="H7" s="20" t="n">
        <v>0</v>
      </c>
      <c r="I7" s="20" t="n">
        <v>1</v>
      </c>
      <c r="J7" s="21">
        <f>SUM(G7:I7)</f>
        <v/>
      </c>
      <c r="K7" s="19" t="inlineStr">
        <is>
          <t>Typed models for every endpoint; central handling of Frappe exceptions and session expiry.</t>
        </is>
      </c>
    </row>
    <row r="8">
      <c r="A8" s="18" t="n">
        <v>4</v>
      </c>
      <c r="B8" s="19" t="inlineStr">
        <is>
          <t>Authentication: login, forgot/reset password, token/session, role detection, biometric unlock</t>
        </is>
      </c>
      <c r="C8" s="19" t="inlineStr">
        <is>
          <t>Frappe login</t>
        </is>
      </c>
      <c r="D8" s="19" t="inlineStr">
        <is>
          <t>user.py (login/reset)</t>
        </is>
      </c>
      <c r="E8" s="22" t="inlineStr">
        <is>
          <t>Partial</t>
        </is>
      </c>
      <c r="F8" s="18" t="inlineStr">
        <is>
          <t>M</t>
        </is>
      </c>
      <c r="G8" s="20" t="n">
        <v>4</v>
      </c>
      <c r="H8" s="20" t="n">
        <v>2</v>
      </c>
      <c r="I8" s="20" t="n">
        <v>1.5</v>
      </c>
      <c r="J8" s="21">
        <f>SUM(G8:I8)</f>
        <v/>
      </c>
      <c r="K8" s="19" t="inlineStr">
        <is>
          <t>Backend: issue API key/secret or OAuth token for mobile; endpoint returning role(s) and linked Student/Instructor/Guardian.</t>
        </is>
      </c>
    </row>
    <row r="9">
      <c r="A9" s="18" t="n">
        <v>5</v>
      </c>
      <c r="B9" s="19" t="inlineStr">
        <is>
          <t>Role-based app shell and navigation (Student / Faculty / Parent in one app)</t>
        </is>
      </c>
      <c r="C9" s="19" t="inlineStr">
        <is>
          <t>_base.html per portal</t>
        </is>
      </c>
      <c r="D9" s="19" t="inlineStr">
        <is>
          <t>-</t>
        </is>
      </c>
      <c r="E9" s="18" t="inlineStr">
        <is>
          <t>-</t>
        </is>
      </c>
      <c r="F9" s="18" t="inlineStr">
        <is>
          <t>M</t>
        </is>
      </c>
      <c r="G9" s="20" t="n">
        <v>2</v>
      </c>
      <c r="H9" s="20" t="n">
        <v>0</v>
      </c>
      <c r="I9" s="20" t="n">
        <v>1</v>
      </c>
      <c r="J9" s="21">
        <f>SUM(G9:I9)</f>
        <v/>
      </c>
      <c r="K9" s="19" t="inlineStr">
        <is>
          <t>One app, role chosen at login. Users with more than one role get a role switcher.</t>
        </is>
      </c>
    </row>
    <row r="10">
      <c r="A10" s="18" t="n">
        <v>6</v>
      </c>
      <c r="B10" s="19" t="inlineStr">
        <is>
          <t>Push notifications (FCM) and in-app notification centre</t>
        </is>
      </c>
      <c r="C10" s="19" t="inlineStr">
        <is>
          <t>notifications.html</t>
        </is>
      </c>
      <c r="D10" s="19" t="inlineStr">
        <is>
          <t>get_portal_notifications, get_faculty_notifications</t>
        </is>
      </c>
      <c r="E10" s="22" t="inlineStr">
        <is>
          <t>Partial</t>
        </is>
      </c>
      <c r="F10" s="18" t="inlineStr">
        <is>
          <t>M</t>
        </is>
      </c>
      <c r="G10" s="20" t="n">
        <v>2.5</v>
      </c>
      <c r="H10" s="20" t="n">
        <v>3</v>
      </c>
      <c r="I10" s="20" t="n">
        <v>1</v>
      </c>
      <c r="J10" s="21">
        <f>SUM(G10:I10)</f>
        <v/>
      </c>
      <c r="K10" s="19" t="inlineStr">
        <is>
          <t>Backend: device token doctype, FCM sender hooked into Notification Log / alerts (attendance, fees, results).</t>
        </is>
      </c>
    </row>
    <row r="11">
      <c r="A11" s="18" t="n">
        <v>7</v>
      </c>
      <c r="B11" s="19" t="inlineStr">
        <is>
          <t>File handling: camera/gallery/document upload, PDF download, view and share</t>
        </is>
      </c>
      <c r="C11" s="19" t="inlineStr">
        <is>
          <t>Multiple pages</t>
        </is>
      </c>
      <c r="D11" s="19" t="inlineStr">
        <is>
          <t>upload_file, download_* endpoints</t>
        </is>
      </c>
      <c r="E11" s="23" t="inlineStr">
        <is>
          <t>Ready</t>
        </is>
      </c>
      <c r="F11" s="18" t="inlineStr">
        <is>
          <t>M</t>
        </is>
      </c>
      <c r="G11" s="20" t="n">
        <v>2.5</v>
      </c>
      <c r="H11" s="20" t="n">
        <v>0.5</v>
      </c>
      <c r="I11" s="20" t="n">
        <v>1</v>
      </c>
      <c r="J11" s="21">
        <f>SUM(G11:I11)</f>
        <v/>
      </c>
      <c r="K11" s="19" t="inlineStr">
        <is>
          <t>Shared by condonation, complaints, bank passbook, receipts, hall ticket and grade cards.</t>
        </is>
      </c>
    </row>
    <row r="12">
      <c r="A12" s="18" t="n">
        <v>8</v>
      </c>
      <c r="B12" s="19" t="inlineStr">
        <is>
          <t>Razorpay Flutter SDK integration (shared by Student and Parent payments)</t>
        </is>
      </c>
      <c r="C12" s="19" t="inlineStr">
        <is>
          <t>fees.html (Razorpay checkout.js)</t>
        </is>
      </c>
      <c r="D12" s="19" t="inlineStr">
        <is>
          <t>create_*_order / confirm_* / sync_payment_status</t>
        </is>
      </c>
      <c r="E12" s="23" t="inlineStr">
        <is>
          <t>Ready</t>
        </is>
      </c>
      <c r="F12" s="18" t="inlineStr">
        <is>
          <t>M</t>
        </is>
      </c>
      <c r="G12" s="20" t="n">
        <v>2</v>
      </c>
      <c r="H12" s="20" t="n">
        <v>1</v>
      </c>
      <c r="I12" s="20" t="n">
        <v>1.5</v>
      </c>
      <c r="J12" s="21">
        <f>SUM(G12:I12)</f>
        <v/>
      </c>
      <c r="K12" s="19" t="inlineStr">
        <is>
          <t>Native SDK replaces checkout.js. Backend: verify signatures for mobile flow; webhook already exists.</t>
        </is>
      </c>
    </row>
    <row r="13">
      <c r="A13" s="18" t="n">
        <v>9</v>
      </c>
      <c r="B13" s="19" t="inlineStr">
        <is>
          <t>Helpdesk WebView shell with single sign-on (replaces iframe)</t>
        </is>
      </c>
      <c r="C13" s="19" t="inlineStr">
        <is>
          <t>support.html (iframe to /helpdesk/my-tickets)</t>
        </is>
      </c>
      <c r="D13" s="19" t="inlineStr">
        <is>
          <t>Helpdesk app (Frappe)</t>
        </is>
      </c>
      <c r="E13" s="22" t="inlineStr">
        <is>
          <t>Partial</t>
        </is>
      </c>
      <c r="F13" s="18" t="inlineStr">
        <is>
          <t>M</t>
        </is>
      </c>
      <c r="G13" s="20" t="n">
        <v>2</v>
      </c>
      <c r="H13" s="20" t="n">
        <v>1.5</v>
      </c>
      <c r="I13" s="20" t="n">
        <v>1</v>
      </c>
      <c r="J13" s="21">
        <f>SUM(G13:I13)</f>
        <v/>
      </c>
      <c r="K13" s="19" t="inlineStr">
        <is>
          <t>Inject Frappe session cookie into WebView, hide helpdesk sidebar via CSS, handle deep links to tickets and file attachments.</t>
        </is>
      </c>
    </row>
    <row r="14">
      <c r="A14" s="18" t="n">
        <v>10</v>
      </c>
      <c r="B14" s="19" t="inlineStr">
        <is>
          <t>Offline caching and connectivity handling</t>
        </is>
      </c>
      <c r="C14" s="19" t="inlineStr">
        <is>
          <t>-</t>
        </is>
      </c>
      <c r="D14" s="19" t="inlineStr">
        <is>
          <t>-</t>
        </is>
      </c>
      <c r="E14" s="18" t="inlineStr">
        <is>
          <t>-</t>
        </is>
      </c>
      <c r="F14" s="18" t="inlineStr">
        <is>
          <t>M</t>
        </is>
      </c>
      <c r="G14" s="20" t="n">
        <v>3</v>
      </c>
      <c r="H14" s="20" t="n">
        <v>0</v>
      </c>
      <c r="I14" s="20" t="n">
        <v>1</v>
      </c>
      <c r="J14" s="21">
        <f>SUM(G14:I14)</f>
        <v/>
      </c>
      <c r="K14" s="19" t="inlineStr">
        <is>
          <t>Cache timetable, ID card, results and attendance for offline view.</t>
        </is>
      </c>
    </row>
    <row r="15">
      <c r="A15" s="18" t="n">
        <v>11</v>
      </c>
      <c r="B15" s="19" t="inlineStr">
        <is>
          <t>Security: secure storage, SSL pinning, session timeout, root/jailbreak checks</t>
        </is>
      </c>
      <c r="C15" s="19" t="inlineStr">
        <is>
          <t>-</t>
        </is>
      </c>
      <c r="D15" s="19" t="inlineStr">
        <is>
          <t>-</t>
        </is>
      </c>
      <c r="E15" s="18" t="inlineStr">
        <is>
          <t>-</t>
        </is>
      </c>
      <c r="F15" s="18" t="inlineStr">
        <is>
          <t>S</t>
        </is>
      </c>
      <c r="G15" s="20" t="n">
        <v>1.5</v>
      </c>
      <c r="H15" s="20" t="n">
        <v>0</v>
      </c>
      <c r="I15" s="20" t="n">
        <v>0.5</v>
      </c>
      <c r="J15" s="21">
        <f>SUM(G15:I15)</f>
        <v/>
      </c>
      <c r="K15" s="19" t="inlineStr"/>
    </row>
    <row r="16">
      <c r="A16" s="18" t="n">
        <v>12</v>
      </c>
      <c r="B16" s="19" t="inlineStr">
        <is>
          <t>Crash reporting and analytics (Firebase Crashlytics/Analytics)</t>
        </is>
      </c>
      <c r="C16" s="19" t="inlineStr">
        <is>
          <t>-</t>
        </is>
      </c>
      <c r="D16" s="19" t="inlineStr">
        <is>
          <t>-</t>
        </is>
      </c>
      <c r="E16" s="18" t="inlineStr">
        <is>
          <t>-</t>
        </is>
      </c>
      <c r="F16" s="18" t="inlineStr">
        <is>
          <t>S</t>
        </is>
      </c>
      <c r="G16" s="20" t="n">
        <v>1</v>
      </c>
      <c r="H16" s="20" t="n">
        <v>0</v>
      </c>
      <c r="I16" s="20" t="n">
        <v>0.5</v>
      </c>
      <c r="J16" s="21">
        <f>SUM(G16:I16)</f>
        <v/>
      </c>
      <c r="K16" s="19" t="inlineStr"/>
    </row>
    <row r="17">
      <c r="A17" s="18" t="n">
        <v>13</v>
      </c>
      <c r="B17" s="19" t="inlineStr">
        <is>
          <t>App Store and Play Store release: signing, listings, privacy forms, review cycles</t>
        </is>
      </c>
      <c r="C17" s="19" t="inlineStr">
        <is>
          <t>-</t>
        </is>
      </c>
      <c r="D17" s="19" t="inlineStr">
        <is>
          <t>-</t>
        </is>
      </c>
      <c r="E17" s="18" t="inlineStr">
        <is>
          <t>-</t>
        </is>
      </c>
      <c r="F17" s="18" t="inlineStr">
        <is>
          <t>M</t>
        </is>
      </c>
      <c r="G17" s="20" t="n">
        <v>3</v>
      </c>
      <c r="H17" s="20" t="n">
        <v>0</v>
      </c>
      <c r="I17" s="20" t="n">
        <v>1</v>
      </c>
      <c r="J17" s="21">
        <f>SUM(G17:I17)</f>
        <v/>
      </c>
      <c r="K17" s="19" t="inlineStr">
        <is>
          <t>Apple review can take several rounds; plan buffer.</t>
        </is>
      </c>
    </row>
    <row r="18">
      <c r="A18" s="24" t="n"/>
      <c r="B18" s="12" t="inlineStr">
        <is>
          <t>Module total</t>
        </is>
      </c>
      <c r="C18" s="24" t="n"/>
      <c r="D18" s="24" t="n"/>
      <c r="E18" s="24" t="n"/>
      <c r="F18" s="24" t="n"/>
      <c r="G18" s="14">
        <f>SUM(G5:G17)</f>
        <v/>
      </c>
      <c r="H18" s="14">
        <f>SUM(H5:H17)</f>
        <v/>
      </c>
      <c r="I18" s="14">
        <f>SUM(I5:I17)</f>
        <v/>
      </c>
      <c r="J18" s="14">
        <f>SUM(J5:J17)</f>
        <v/>
      </c>
      <c r="K18" s="24" t="n"/>
    </row>
  </sheetData>
  <autoFilter ref="A4:K17"/>
  <dataValidations count="2">
    <dataValidation sqref="E5 E6 E7 E8 E9 E10 E11 E12 E13 E14 E15 E16 E17" showDropDown="0" showInputMessage="0" showErrorMessage="0" allowBlank="1" type="list">
      <formula1>"Ready,Partial,Missing,-"</formula1>
    </dataValidation>
    <dataValidation sqref="F5 F6 F7 F8 F9 F10 F11 F12 F13 F14 F15 F16 F17" showDropDown="0" showInputMessage="0" showErrorMessage="0" allowBlank="1" type="list">
      <formula1>"S,M,L,-"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8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55" customWidth="1" min="11" max="11"/>
  </cols>
  <sheetData>
    <row r="1">
      <c r="A1" s="17" t="inlineStr">
        <is>
          <t>Student Portal: Flutter Mobile App Effort Estimate</t>
        </is>
      </c>
    </row>
    <row r="2">
      <c r="A2" s="2" t="inlineStr">
        <is>
          <t>Effort in person-days. Yellow cells are estimates you can change; totals recalculate.</t>
        </is>
      </c>
    </row>
    <row r="4" ht="32" customHeight="1">
      <c r="A4" s="8" t="inlineStr">
        <is>
          <t>#</t>
        </is>
      </c>
      <c r="B4" s="8" t="inlineStr">
        <is>
          <t>Feature</t>
        </is>
      </c>
      <c r="C4" s="8" t="inlineStr">
        <is>
          <t>Web source</t>
        </is>
      </c>
      <c r="D4" s="8" t="inlineStr">
        <is>
          <t>Existing API(s)</t>
        </is>
      </c>
      <c r="E4" s="8" t="inlineStr">
        <is>
          <t>API readiness</t>
        </is>
      </c>
      <c r="F4" s="8" t="inlineStr">
        <is>
          <t>Complexity</t>
        </is>
      </c>
      <c r="G4" s="8" t="inlineStr">
        <is>
          <t>Flutter UI (days)</t>
        </is>
      </c>
      <c r="H4" s="8" t="inlineStr">
        <is>
          <t>Backend / API (days)</t>
        </is>
      </c>
      <c r="I4" s="8" t="inlineStr">
        <is>
          <t>QA &amp; Integration (days)</t>
        </is>
      </c>
      <c r="J4" s="8" t="inlineStr">
        <is>
          <t>Total (days)</t>
        </is>
      </c>
      <c r="K4" s="8" t="inlineStr">
        <is>
          <t>Notes</t>
        </is>
      </c>
    </row>
    <row r="5">
      <c r="A5" s="18" t="n">
        <v>1</v>
      </c>
      <c r="B5" s="19" t="inlineStr">
        <is>
          <t>Home Dashboard: CGPA, Attendance, Fee Balance, Today's Schedule</t>
        </is>
      </c>
      <c r="C5" s="19" t="inlineStr">
        <is>
          <t>student-portal/index.py</t>
        </is>
      </c>
      <c r="D5" s="19" t="inlineStr">
        <is>
          <t>None (get_context only)</t>
        </is>
      </c>
      <c r="E5" s="22" t="inlineStr">
        <is>
          <t>Partial</t>
        </is>
      </c>
      <c r="F5" s="18" t="inlineStr">
        <is>
          <t>M</t>
        </is>
      </c>
      <c r="G5" s="20" t="n">
        <v>3</v>
      </c>
      <c r="H5" s="20" t="n">
        <v>2</v>
      </c>
      <c r="I5" s="20" t="n">
        <v>1.5</v>
      </c>
      <c r="J5" s="21">
        <f>SUM(G5:I5)</f>
        <v/>
      </c>
      <c r="K5" s="19" t="inlineStr">
        <is>
          <t>Needs one aggregated dashboard JSON endpoint built from index.py logic.</t>
        </is>
      </c>
    </row>
    <row r="6">
      <c r="A6" s="18" t="n">
        <v>2</v>
      </c>
      <c r="B6" s="19" t="inlineStr">
        <is>
          <t>My Courses &amp; Enrolled Subjects</t>
        </is>
      </c>
      <c r="C6" s="19" t="inlineStr">
        <is>
          <t>student-portal/courses.py</t>
        </is>
      </c>
      <c r="D6" s="19" t="inlineStr">
        <is>
          <t>None (get_context only)</t>
        </is>
      </c>
      <c r="E6" s="22" t="inlineStr">
        <is>
          <t>Partial</t>
        </is>
      </c>
      <c r="F6" s="18" t="inlineStr">
        <is>
          <t>S</t>
        </is>
      </c>
      <c r="G6" s="20" t="n">
        <v>2</v>
      </c>
      <c r="H6" s="20" t="n">
        <v>1</v>
      </c>
      <c r="I6" s="20" t="n">
        <v>1</v>
      </c>
      <c r="J6" s="21">
        <f>SUM(G6:I6)</f>
        <v/>
      </c>
      <c r="K6" s="19" t="inlineStr">
        <is>
          <t>Expose course list and enrolment from courses.py.</t>
        </is>
      </c>
    </row>
    <row r="7">
      <c r="A7" s="18" t="n">
        <v>3</v>
      </c>
      <c r="B7" s="19" t="inlineStr">
        <is>
          <t>Daily &amp; Weekly Timetable</t>
        </is>
      </c>
      <c r="C7" s="19" t="inlineStr">
        <is>
          <t>student-portal/timetable.py</t>
        </is>
      </c>
      <c r="D7" s="19" t="inlineStr">
        <is>
          <t>get_student_calendar</t>
        </is>
      </c>
      <c r="E7" s="23" t="inlineStr">
        <is>
          <t>Ready</t>
        </is>
      </c>
      <c r="F7" s="18" t="inlineStr">
        <is>
          <t>M</t>
        </is>
      </c>
      <c r="G7" s="20" t="n">
        <v>3</v>
      </c>
      <c r="H7" s="20" t="n">
        <v>0.5</v>
      </c>
      <c r="I7" s="20" t="n">
        <v>1</v>
      </c>
      <c r="J7" s="21">
        <f>SUM(G7:I7)</f>
        <v/>
      </c>
      <c r="K7" s="19" t="inlineStr">
        <is>
          <t>Day/week calendar widget, reused by Faculty and Parent.</t>
        </is>
      </c>
    </row>
    <row r="8">
      <c r="A8" s="18" t="n">
        <v>4</v>
      </c>
      <c r="B8" s="19" t="inlineStr">
        <is>
          <t>Course-wise Attendance with Warning Alerts</t>
        </is>
      </c>
      <c r="C8" s="19" t="inlineStr">
        <is>
          <t>student-portal/attendance.py</t>
        </is>
      </c>
      <c r="D8" s="19" t="inlineStr">
        <is>
          <t>None (get_context only)</t>
        </is>
      </c>
      <c r="E8" s="22" t="inlineStr">
        <is>
          <t>Partial</t>
        </is>
      </c>
      <c r="F8" s="18" t="inlineStr">
        <is>
          <t>M</t>
        </is>
      </c>
      <c r="G8" s="20" t="n">
        <v>2.5</v>
      </c>
      <c r="H8" s="20" t="n">
        <v>1.5</v>
      </c>
      <c r="I8" s="20" t="n">
        <v>1</v>
      </c>
      <c r="J8" s="21">
        <f>SUM(G8:I8)</f>
        <v/>
      </c>
      <c r="K8" s="19" t="inlineStr">
        <is>
          <t>Expose attendance summary; push alert when below threshold.</t>
        </is>
      </c>
    </row>
    <row r="9">
      <c r="A9" s="18" t="n">
        <v>5</v>
      </c>
      <c r="B9" s="19" t="inlineStr">
        <is>
          <t>Exam Eligibility Status per Course</t>
        </is>
      </c>
      <c r="C9" s="19" t="inlineStr">
        <is>
          <t>attendance.py / exam_schedule.py</t>
        </is>
      </c>
      <c r="D9" s="19" t="inlineStr">
        <is>
          <t>None (get_context only)</t>
        </is>
      </c>
      <c r="E9" s="22" t="inlineStr">
        <is>
          <t>Partial</t>
        </is>
      </c>
      <c r="F9" s="18" t="inlineStr">
        <is>
          <t>S</t>
        </is>
      </c>
      <c r="G9" s="20" t="n">
        <v>1.5</v>
      </c>
      <c r="H9" s="20" t="n">
        <v>1</v>
      </c>
      <c r="I9" s="20" t="n">
        <v>0.5</v>
      </c>
      <c r="J9" s="21">
        <f>SUM(G9:I9)</f>
        <v/>
      </c>
      <c r="K9" s="19" t="inlineStr">
        <is>
          <t>Expose eligibility flags already computed for the web.</t>
        </is>
      </c>
    </row>
    <row r="10">
      <c r="A10" s="18" t="n">
        <v>6</v>
      </c>
      <c r="B10" s="19" t="inlineStr">
        <is>
          <t>Attendance Condonation / Excuse Application (with document upload)</t>
        </is>
      </c>
      <c r="C10" s="19" t="inlineStr">
        <is>
          <t>attendance.html</t>
        </is>
      </c>
      <c r="D10" s="19" t="inlineStr">
        <is>
          <t>get_condonation_reasons, submit_condonation_application, submit_fa_mfa_application</t>
        </is>
      </c>
      <c r="E10" s="23" t="inlineStr">
        <is>
          <t>Ready</t>
        </is>
      </c>
      <c r="F10" s="18" t="inlineStr">
        <is>
          <t>M</t>
        </is>
      </c>
      <c r="G10" s="20" t="n">
        <v>2.5</v>
      </c>
      <c r="H10" s="20" t="n">
        <v>0.5</v>
      </c>
      <c r="I10" s="20" t="n">
        <v>1</v>
      </c>
      <c r="J10" s="21">
        <f>SUM(G10:I10)</f>
        <v/>
      </c>
      <c r="K10" s="19" t="inlineStr">
        <is>
          <t>Form with camera/document picker and application status list.</t>
        </is>
      </c>
    </row>
    <row r="11">
      <c r="A11" s="18" t="n">
        <v>7</v>
      </c>
      <c r="B11" s="19" t="inlineStr">
        <is>
          <t>General Academic Leave Application</t>
        </is>
      </c>
      <c r="C11" s="19" t="inlineStr">
        <is>
          <t>student-portal/leave_request.py</t>
        </is>
      </c>
      <c r="D11" s="19" t="inlineStr">
        <is>
          <t>submit_leave_request (www)</t>
        </is>
      </c>
      <c r="E11" s="22" t="inlineStr">
        <is>
          <t>Partial</t>
        </is>
      </c>
      <c r="F11" s="18" t="inlineStr">
        <is>
          <t>S</t>
        </is>
      </c>
      <c r="G11" s="20" t="n">
        <v>2</v>
      </c>
      <c r="H11" s="20" t="n">
        <v>0.5</v>
      </c>
      <c r="I11" s="20" t="n">
        <v>0.5</v>
      </c>
      <c r="J11" s="21">
        <f>SUM(G11:I11)</f>
        <v/>
      </c>
      <c r="K11" s="19" t="inlineStr">
        <is>
          <t>Submit API exists; add a list/status endpoint.</t>
        </is>
      </c>
    </row>
    <row r="12">
      <c r="A12" s="18" t="n">
        <v>8</v>
      </c>
      <c r="B12" s="19" t="inlineStr">
        <is>
          <t>Examination Schedule &amp; Hall Ticket Download</t>
        </is>
      </c>
      <c r="C12" s="19" t="inlineStr">
        <is>
          <t>student-portal/exam_schedule.py</t>
        </is>
      </c>
      <c r="D12" s="19" t="inlineStr">
        <is>
          <t>None (get_context only)</t>
        </is>
      </c>
      <c r="E12" s="22" t="inlineStr">
        <is>
          <t>Partial</t>
        </is>
      </c>
      <c r="F12" s="18" t="inlineStr">
        <is>
          <t>M</t>
        </is>
      </c>
      <c r="G12" s="20" t="n">
        <v>2</v>
      </c>
      <c r="H12" s="20" t="n">
        <v>1.5</v>
      </c>
      <c r="I12" s="20" t="n">
        <v>1</v>
      </c>
      <c r="J12" s="21">
        <f>SUM(G12:I12)</f>
        <v/>
      </c>
      <c r="K12" s="19" t="inlineStr">
        <is>
          <t>Expose schedule and hall ticket PDF endpoint.</t>
        </is>
      </c>
    </row>
    <row r="13">
      <c r="A13" s="18" t="n">
        <v>9</v>
      </c>
      <c r="B13" s="19" t="inlineStr">
        <is>
          <t>Academic Results &amp; Grade Cards</t>
        </is>
      </c>
      <c r="C13" s="19" t="inlineStr">
        <is>
          <t>student-portal/results.py</t>
        </is>
      </c>
      <c r="D13" s="19" t="inlineStr">
        <is>
          <t>None (get_context only)</t>
        </is>
      </c>
      <c r="E13" s="22" t="inlineStr">
        <is>
          <t>Partial</t>
        </is>
      </c>
      <c r="F13" s="18" t="inlineStr">
        <is>
          <t>M</t>
        </is>
      </c>
      <c r="G13" s="20" t="n">
        <v>2.5</v>
      </c>
      <c r="H13" s="20" t="n">
        <v>1.5</v>
      </c>
      <c r="I13" s="20" t="n">
        <v>1</v>
      </c>
      <c r="J13" s="21">
        <f>SUM(G13:I13)</f>
        <v/>
      </c>
      <c r="K13" s="19" t="inlineStr">
        <is>
          <t>Semester-wise results, SGPA/CGPA, grade card PDF.</t>
        </is>
      </c>
    </row>
    <row r="14">
      <c r="A14" s="18" t="n">
        <v>10</v>
      </c>
      <c r="B14" s="19" t="inlineStr">
        <is>
          <t>Grade Appeal / Re-evaluation Application</t>
        </is>
      </c>
      <c r="C14" s="19" t="inlineStr">
        <is>
          <t>student-portal/grade_appeal.py</t>
        </is>
      </c>
      <c r="D14" s="19" t="inlineStr">
        <is>
          <t>submit_appeal (www)</t>
        </is>
      </c>
      <c r="E14" s="22" t="inlineStr">
        <is>
          <t>Partial</t>
        </is>
      </c>
      <c r="F14" s="18" t="inlineStr">
        <is>
          <t>S</t>
        </is>
      </c>
      <c r="G14" s="20" t="n">
        <v>2</v>
      </c>
      <c r="H14" s="20" t="n">
        <v>0.5</v>
      </c>
      <c r="I14" s="20" t="n">
        <v>1</v>
      </c>
      <c r="J14" s="21">
        <f>SUM(G14:I14)</f>
        <v/>
      </c>
      <c r="K14" s="19" t="inlineStr">
        <is>
          <t>Submit exists; add appeal list/status endpoint.</t>
        </is>
      </c>
    </row>
    <row r="15">
      <c r="A15" s="18" t="n">
        <v>11</v>
      </c>
      <c r="B15" s="19" t="inlineStr">
        <is>
          <t>Re-Examination &amp; Improvement Exam Registration + Fee Payment</t>
        </is>
      </c>
      <c r="C15" s="19" t="inlineStr">
        <is>
          <t>student-portal/re_exam.py</t>
        </is>
      </c>
      <c r="D15" s="19" t="inlineStr">
        <is>
          <t>initiate_re_exam_registration, initiate_improvement_exam_registration, *_payment_order</t>
        </is>
      </c>
      <c r="E15" s="23" t="inlineStr">
        <is>
          <t>Ready</t>
        </is>
      </c>
      <c r="F15" s="18" t="inlineStr">
        <is>
          <t>M</t>
        </is>
      </c>
      <c r="G15" s="20" t="n">
        <v>3</v>
      </c>
      <c r="H15" s="20" t="n">
        <v>0.5</v>
      </c>
      <c r="I15" s="20" t="n">
        <v>1.5</v>
      </c>
      <c r="J15" s="21">
        <f>SUM(G15:I15)</f>
        <v/>
      </c>
      <c r="K15" s="19" t="inlineStr">
        <is>
          <t>Uses shared Razorpay module; payment test cases.</t>
        </is>
      </c>
    </row>
    <row r="16">
      <c r="A16" s="18" t="n">
        <v>12</v>
      </c>
      <c r="B16" s="19" t="inlineStr">
        <is>
          <t>Fee Demands, Scholarships &amp; Online Payment (UPI, Card, Net Banking)</t>
        </is>
      </c>
      <c r="C16" s="19" t="inlineStr">
        <is>
          <t>student-portal/fees.py (1,117 lines)</t>
        </is>
      </c>
      <c r="D16" s="19" t="inlineStr">
        <is>
          <t>student_payment.py (32 endpoints), get_invoice_summary</t>
        </is>
      </c>
      <c r="E16" s="22" t="inlineStr">
        <is>
          <t>Partial</t>
        </is>
      </c>
      <c r="F16" s="18" t="inlineStr">
        <is>
          <t>L</t>
        </is>
      </c>
      <c r="G16" s="20" t="n">
        <v>5</v>
      </c>
      <c r="H16" s="20" t="n">
        <v>1.5</v>
      </c>
      <c r="I16" s="20" t="n">
        <v>2.5</v>
      </c>
      <c r="J16" s="21">
        <f>SUM(G16:I16)</f>
        <v/>
      </c>
      <c r="K16" s="19" t="inlineStr">
        <is>
          <t>Payment APIs ready; fee list and scholarship view need a JSON endpoint. Single, bulk and demand payments.</t>
        </is>
      </c>
    </row>
    <row r="17">
      <c r="A17" s="18" t="n">
        <v>13</v>
      </c>
      <c r="B17" s="19" t="inlineStr">
        <is>
          <t>Payment Receipt Download</t>
        </is>
      </c>
      <c r="C17" s="19" t="inlineStr">
        <is>
          <t>fees.html</t>
        </is>
      </c>
      <c r="D17" s="19" t="inlineStr">
        <is>
          <t>download_fee_receipt, download_re_exam_receipt, download_improvement_exam_receipt</t>
        </is>
      </c>
      <c r="E17" s="23" t="inlineStr">
        <is>
          <t>Ready</t>
        </is>
      </c>
      <c r="F17" s="18" t="inlineStr">
        <is>
          <t>S</t>
        </is>
      </c>
      <c r="G17" s="20" t="n">
        <v>1</v>
      </c>
      <c r="H17" s="20" t="n">
        <v>0.25</v>
      </c>
      <c r="I17" s="20" t="n">
        <v>0.5</v>
      </c>
      <c r="J17" s="21">
        <f>SUM(G17:I17)</f>
        <v/>
      </c>
      <c r="K17" s="19" t="inlineStr"/>
    </row>
    <row r="18">
      <c r="A18" s="18" t="n">
        <v>14</v>
      </c>
      <c r="B18" s="19" t="inlineStr">
        <is>
          <t>Hostel Room &amp; Warden Details</t>
        </is>
      </c>
      <c r="C18" s="19" t="inlineStr">
        <is>
          <t>student-portal/hostel.py</t>
        </is>
      </c>
      <c r="D18" s="19" t="inlineStr">
        <is>
          <t>None (get_context only)</t>
        </is>
      </c>
      <c r="E18" s="22" t="inlineStr">
        <is>
          <t>Partial</t>
        </is>
      </c>
      <c r="F18" s="18" t="inlineStr">
        <is>
          <t>S</t>
        </is>
      </c>
      <c r="G18" s="20" t="n">
        <v>1.5</v>
      </c>
      <c r="H18" s="20" t="n">
        <v>0.5</v>
      </c>
      <c r="I18" s="20" t="n">
        <v>0.5</v>
      </c>
      <c r="J18" s="21">
        <f>SUM(G18:I18)</f>
        <v/>
      </c>
      <c r="K18" s="19" t="inlineStr"/>
    </row>
    <row r="19">
      <c r="A19" s="18" t="n">
        <v>15</v>
      </c>
      <c r="B19" s="19" t="inlineStr">
        <is>
          <t>Hostel Leave / Out-Pass Request</t>
        </is>
      </c>
      <c r="C19" s="19" t="inlineStr">
        <is>
          <t>student-portal/hostel.py</t>
        </is>
      </c>
      <c r="D19" s="19" t="inlineStr">
        <is>
          <t>submit_leave_request (hostel)</t>
        </is>
      </c>
      <c r="E19" s="22" t="inlineStr">
        <is>
          <t>Partial</t>
        </is>
      </c>
      <c r="F19" s="18" t="inlineStr">
        <is>
          <t>S</t>
        </is>
      </c>
      <c r="G19" s="20" t="n">
        <v>2</v>
      </c>
      <c r="H19" s="20" t="n">
        <v>0.5</v>
      </c>
      <c r="I19" s="20" t="n">
        <v>0.5</v>
      </c>
      <c r="J19" s="21">
        <f>SUM(G19:I19)</f>
        <v/>
      </c>
      <c r="K19" s="19" t="inlineStr">
        <is>
          <t>Add list/status endpoint. A QR out-pass for gate scanning would add ~2 days.</t>
        </is>
      </c>
    </row>
    <row r="20">
      <c r="A20" s="18" t="n">
        <v>16</v>
      </c>
      <c r="B20" s="19" t="inlineStr">
        <is>
          <t>Hostel Maintenance Complaint (with photo upload)</t>
        </is>
      </c>
      <c r="C20" s="19" t="inlineStr">
        <is>
          <t>student-portal/hostel.py</t>
        </is>
      </c>
      <c r="D20" s="19" t="inlineStr">
        <is>
          <t>submit_complaint</t>
        </is>
      </c>
      <c r="E20" s="22" t="inlineStr">
        <is>
          <t>Partial</t>
        </is>
      </c>
      <c r="F20" s="18" t="inlineStr">
        <is>
          <t>S</t>
        </is>
      </c>
      <c r="G20" s="20" t="n">
        <v>2</v>
      </c>
      <c r="H20" s="20" t="n">
        <v>0.5</v>
      </c>
      <c r="I20" s="20" t="n">
        <v>0.5</v>
      </c>
      <c r="J20" s="21">
        <f>SUM(G20:I20)</f>
        <v/>
      </c>
      <c r="K20" s="19" t="inlineStr">
        <is>
          <t>Add complaint list/status endpoint.</t>
        </is>
      </c>
    </row>
    <row r="21">
      <c r="A21" s="18" t="n">
        <v>17</v>
      </c>
      <c r="B21" s="19" t="inlineStr">
        <is>
          <t>Campus Venue Booking</t>
        </is>
      </c>
      <c r="C21" s="19" t="inlineStr">
        <is>
          <t>student-portal/venue_booking.py</t>
        </is>
      </c>
      <c r="D21" s="19" t="inlineStr">
        <is>
          <t>check_room_availability, get_rooms_for_type, submit_venue_booking, cancel_venue_booking, request_venue_swap</t>
        </is>
      </c>
      <c r="E21" s="23" t="inlineStr">
        <is>
          <t>Ready</t>
        </is>
      </c>
      <c r="F21" s="18" t="inlineStr">
        <is>
          <t>L</t>
        </is>
      </c>
      <c r="G21" s="20" t="n">
        <v>4</v>
      </c>
      <c r="H21" s="20" t="n">
        <v>0.5</v>
      </c>
      <c r="I21" s="20" t="n">
        <v>1.5</v>
      </c>
      <c r="J21" s="21">
        <f>SUM(G21:I21)</f>
        <v/>
      </c>
      <c r="K21" s="19" t="inlineStr">
        <is>
          <t>Availability search, booking, swap and cancel. Widgets reused by Faculty.</t>
        </is>
      </c>
    </row>
    <row r="22">
      <c r="A22" s="18" t="n">
        <v>18</v>
      </c>
      <c r="B22" s="19" t="inlineStr">
        <is>
          <t>Digital Student ID Card</t>
        </is>
      </c>
      <c r="C22" s="19" t="inlineStr">
        <is>
          <t>documents.py / profile.py</t>
        </is>
      </c>
      <c r="D22" s="19" t="inlineStr">
        <is>
          <t>None (get_context only)</t>
        </is>
      </c>
      <c r="E22" s="22" t="inlineStr">
        <is>
          <t>Partial</t>
        </is>
      </c>
      <c r="F22" s="18" t="inlineStr">
        <is>
          <t>M</t>
        </is>
      </c>
      <c r="G22" s="20" t="n">
        <v>2</v>
      </c>
      <c r="H22" s="20" t="n">
        <v>1</v>
      </c>
      <c r="I22" s="20" t="n">
        <v>0.5</v>
      </c>
      <c r="J22" s="21">
        <f>SUM(G22:I22)</f>
        <v/>
      </c>
      <c r="K22" s="19" t="inlineStr">
        <is>
          <t>Card with photo and QR, available offline.</t>
        </is>
      </c>
    </row>
    <row r="23">
      <c r="A23" s="18" t="n">
        <v>19</v>
      </c>
      <c r="B23" s="19" t="inlineStr">
        <is>
          <t>Student Registration Slip Download</t>
        </is>
      </c>
      <c r="C23" s="19" t="inlineStr">
        <is>
          <t>student-portal/documents.html</t>
        </is>
      </c>
      <c r="D23" s="19" t="inlineStr">
        <is>
          <t>download_student_document</t>
        </is>
      </c>
      <c r="E23" s="23" t="inlineStr">
        <is>
          <t>Ready</t>
        </is>
      </c>
      <c r="F23" s="18" t="inlineStr">
        <is>
          <t>S</t>
        </is>
      </c>
      <c r="G23" s="20" t="n">
        <v>1</v>
      </c>
      <c r="H23" s="20" t="n">
        <v>0.25</v>
      </c>
      <c r="I23" s="20" t="n">
        <v>0.5</v>
      </c>
      <c r="J23" s="21">
        <f>SUM(G23:I23)</f>
        <v/>
      </c>
      <c r="K23" s="19" t="inlineStr"/>
    </row>
    <row r="24">
      <c r="A24" s="18" t="n">
        <v>20</v>
      </c>
      <c r="B24" s="19" t="inlineStr">
        <is>
          <t>Bank Account Details Submission (for scholarships &amp; refunds)</t>
        </is>
      </c>
      <c r="C24" s="19" t="inlineStr">
        <is>
          <t>student-portal/profile.html</t>
        </is>
      </c>
      <c r="D24" s="19" t="inlineStr">
        <is>
          <t>submit_bank_details, upload_bank_passbook</t>
        </is>
      </c>
      <c r="E24" s="23" t="inlineStr">
        <is>
          <t>Ready</t>
        </is>
      </c>
      <c r="F24" s="18" t="inlineStr">
        <is>
          <t>S</t>
        </is>
      </c>
      <c r="G24" s="20" t="n">
        <v>1.5</v>
      </c>
      <c r="H24" s="20" t="n">
        <v>0.25</v>
      </c>
      <c r="I24" s="20" t="n">
        <v>0.5</v>
      </c>
      <c r="J24" s="21">
        <f>SUM(G24:I24)</f>
        <v/>
      </c>
      <c r="K24" s="19" t="inlineStr"/>
    </row>
    <row r="25">
      <c r="A25" s="18" t="n">
        <v>21</v>
      </c>
      <c r="B25" s="19" t="inlineStr">
        <is>
          <t>Helpdesk (WebView)</t>
        </is>
      </c>
      <c r="C25" s="19" t="inlineStr">
        <is>
          <t>student-portal/support.html (iframe)</t>
        </is>
      </c>
      <c r="D25" s="19" t="inlineStr">
        <is>
          <t>Helpdesk app</t>
        </is>
      </c>
      <c r="E25" s="22" t="inlineStr">
        <is>
          <t>Partial</t>
        </is>
      </c>
      <c r="F25" s="18" t="inlineStr">
        <is>
          <t>S</t>
        </is>
      </c>
      <c r="G25" s="20" t="n">
        <v>1</v>
      </c>
      <c r="H25" s="20" t="n">
        <v>0.25</v>
      </c>
      <c r="I25" s="20" t="n">
        <v>0.5</v>
      </c>
      <c r="J25" s="21">
        <f>SUM(G25:I25)</f>
        <v/>
      </c>
      <c r="K25" s="19" t="inlineStr">
        <is>
          <t>Uses the shared WebView shell from the Common module.</t>
        </is>
      </c>
    </row>
    <row r="26">
      <c r="A26" s="18" t="n">
        <v>22</v>
      </c>
      <c r="B26" s="19" t="inlineStr">
        <is>
          <t>Notifications &amp; Announcements</t>
        </is>
      </c>
      <c r="C26" s="19" t="inlineStr">
        <is>
          <t>notifications.html / announcements.py</t>
        </is>
      </c>
      <c r="D26" s="19" t="inlineStr">
        <is>
          <t>get_portal_notifications</t>
        </is>
      </c>
      <c r="E26" s="22" t="inlineStr">
        <is>
          <t>Partial</t>
        </is>
      </c>
      <c r="F26" s="18" t="inlineStr">
        <is>
          <t>S</t>
        </is>
      </c>
      <c r="G26" s="20" t="n">
        <v>1.5</v>
      </c>
      <c r="H26" s="20" t="n">
        <v>0.5</v>
      </c>
      <c r="I26" s="20" t="n">
        <v>0.5</v>
      </c>
      <c r="J26" s="21">
        <f>SUM(G26:I26)</f>
        <v/>
      </c>
      <c r="K26" s="19" t="inlineStr">
        <is>
          <t>Announcement list needs a JSON endpoint.</t>
        </is>
      </c>
    </row>
    <row r="27">
      <c r="A27" s="18" t="n">
        <v>23</v>
      </c>
      <c r="B27" s="19" t="inlineStr">
        <is>
          <t>Profile view</t>
        </is>
      </c>
      <c r="C27" s="19" t="inlineStr">
        <is>
          <t>student-portal/profile.py</t>
        </is>
      </c>
      <c r="D27" s="19" t="inlineStr">
        <is>
          <t>add_guardian</t>
        </is>
      </c>
      <c r="E27" s="22" t="inlineStr">
        <is>
          <t>Partial</t>
        </is>
      </c>
      <c r="F27" s="18" t="inlineStr">
        <is>
          <t>S</t>
        </is>
      </c>
      <c r="G27" s="20" t="n">
        <v>1.5</v>
      </c>
      <c r="H27" s="20" t="n">
        <v>0.5</v>
      </c>
      <c r="I27" s="20" t="n">
        <v>0.5</v>
      </c>
      <c r="J27" s="21">
        <f>SUM(G27:I27)</f>
        <v/>
      </c>
      <c r="K27" s="19" t="inlineStr">
        <is>
          <t>Not in the requested list, but needed in any mobile app.</t>
        </is>
      </c>
    </row>
    <row r="28">
      <c r="A28" s="24" t="n"/>
      <c r="B28" s="12" t="inlineStr">
        <is>
          <t>Module total</t>
        </is>
      </c>
      <c r="C28" s="24" t="n"/>
      <c r="D28" s="24" t="n"/>
      <c r="E28" s="24" t="n"/>
      <c r="F28" s="24" t="n"/>
      <c r="G28" s="14">
        <f>SUM(G5:G27)</f>
        <v/>
      </c>
      <c r="H28" s="14">
        <f>SUM(H5:H27)</f>
        <v/>
      </c>
      <c r="I28" s="14">
        <f>SUM(I5:I27)</f>
        <v/>
      </c>
      <c r="J28" s="14">
        <f>SUM(J5:J27)</f>
        <v/>
      </c>
      <c r="K28" s="24" t="n"/>
    </row>
  </sheetData>
  <autoFilter ref="A4:K27"/>
  <dataValidations count="2">
    <dataValidation sqref="E5 E6 E7 E8 E9 E10 E11 E12 E13 E14 E15 E16 E17 E18 E19 E20 E21 E22 E23 E24 E25 E26 E27" showDropDown="0" showInputMessage="0" showErrorMessage="0" allowBlank="1" type="list">
      <formula1>"Ready,Partial,Missing,-"</formula1>
    </dataValidation>
    <dataValidation sqref="F5 F6 F7 F8 F9 F10 F11 F12 F13 F14 F15 F16 F17 F18 F19 F20 F21 F22 F23 F24 F25 F26 F27" showDropDown="0" showInputMessage="0" showErrorMessage="0" allowBlank="1" type="list">
      <formula1>"S,M,L,-"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8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55" customWidth="1" min="11" max="11"/>
  </cols>
  <sheetData>
    <row r="1">
      <c r="A1" s="17" t="inlineStr">
        <is>
          <t>Faculty Portal: Flutter Mobile App Effort Estimate</t>
        </is>
      </c>
    </row>
    <row r="2">
      <c r="A2" s="2" t="inlineStr">
        <is>
          <t>Effort in person-days. Yellow cells are estimates you can change; totals recalculate.</t>
        </is>
      </c>
    </row>
    <row r="4" ht="32" customHeight="1">
      <c r="A4" s="8" t="inlineStr">
        <is>
          <t>#</t>
        </is>
      </c>
      <c r="B4" s="8" t="inlineStr">
        <is>
          <t>Feature</t>
        </is>
      </c>
      <c r="C4" s="8" t="inlineStr">
        <is>
          <t>Web source</t>
        </is>
      </c>
      <c r="D4" s="8" t="inlineStr">
        <is>
          <t>Existing API(s)</t>
        </is>
      </c>
      <c r="E4" s="8" t="inlineStr">
        <is>
          <t>API readiness</t>
        </is>
      </c>
      <c r="F4" s="8" t="inlineStr">
        <is>
          <t>Complexity</t>
        </is>
      </c>
      <c r="G4" s="8" t="inlineStr">
        <is>
          <t>Flutter UI (days)</t>
        </is>
      </c>
      <c r="H4" s="8" t="inlineStr">
        <is>
          <t>Backend / API (days)</t>
        </is>
      </c>
      <c r="I4" s="8" t="inlineStr">
        <is>
          <t>QA &amp; Integration (days)</t>
        </is>
      </c>
      <c r="J4" s="8" t="inlineStr">
        <is>
          <t>Total (days)</t>
        </is>
      </c>
      <c r="K4" s="8" t="inlineStr">
        <is>
          <t>Notes</t>
        </is>
      </c>
    </row>
    <row r="5">
      <c r="A5" s="18" t="n">
        <v>1</v>
      </c>
      <c r="B5" s="19" t="inlineStr">
        <is>
          <t>Faculty Dashboard: Today's Classes, Pending Tasks, Announcements</t>
        </is>
      </c>
      <c r="C5" s="19" t="inlineStr">
        <is>
          <t>faculty-portal/index.py</t>
        </is>
      </c>
      <c r="D5" s="19" t="inlineStr">
        <is>
          <t>get_dashboard_stats, drilldown_todays_classes, drilldown_pending_attendance</t>
        </is>
      </c>
      <c r="E5" s="23" t="inlineStr">
        <is>
          <t>Ready</t>
        </is>
      </c>
      <c r="F5" s="18" t="inlineStr">
        <is>
          <t>M</t>
        </is>
      </c>
      <c r="G5" s="20" t="n">
        <v>3.5</v>
      </c>
      <c r="H5" s="20" t="n">
        <v>0.5</v>
      </c>
      <c r="I5" s="20" t="n">
        <v>1</v>
      </c>
      <c r="J5" s="21">
        <f>SUM(G5:I5)</f>
        <v/>
      </c>
      <c r="K5" s="19" t="inlineStr"/>
    </row>
    <row r="6">
      <c r="A6" s="18" t="n">
        <v>2</v>
      </c>
      <c r="B6" s="19" t="inlineStr">
        <is>
          <t>My Assigned Courses &amp; Student Roster</t>
        </is>
      </c>
      <c r="C6" s="19" t="inlineStr">
        <is>
          <t>faculty-portal/course-offerings.py</t>
        </is>
      </c>
      <c r="D6" s="19" t="inlineStr">
        <is>
          <t>drilldown_subjects, drilldown_students, drilldown_student_groups</t>
        </is>
      </c>
      <c r="E6" s="22" t="inlineStr">
        <is>
          <t>Partial</t>
        </is>
      </c>
      <c r="F6" s="18" t="inlineStr">
        <is>
          <t>M</t>
        </is>
      </c>
      <c r="G6" s="20" t="n">
        <v>2.5</v>
      </c>
      <c r="H6" s="20" t="n">
        <v>1</v>
      </c>
      <c r="I6" s="20" t="n">
        <v>1</v>
      </c>
      <c r="J6" s="21">
        <f>SUM(G6:I6)</f>
        <v/>
      </c>
      <c r="K6" s="19" t="inlineStr"/>
    </row>
    <row r="7">
      <c r="A7" s="18" t="n">
        <v>3</v>
      </c>
      <c r="B7" s="19" t="inlineStr">
        <is>
          <t>Class Attendance Recording (Present / Absent / On Duty)</t>
        </is>
      </c>
      <c r="C7" s="19" t="inlineStr">
        <is>
          <t>faculty-portal/attendance.py</t>
        </is>
      </c>
      <c r="D7" s="19" t="inlineStr">
        <is>
          <t>get_session_students, save_attendance, bulk_attendance.*</t>
        </is>
      </c>
      <c r="E7" s="23" t="inlineStr">
        <is>
          <t>Ready</t>
        </is>
      </c>
      <c r="F7" s="18" t="inlineStr">
        <is>
          <t>L</t>
        </is>
      </c>
      <c r="G7" s="20" t="n">
        <v>4</v>
      </c>
      <c r="H7" s="20" t="n">
        <v>0.5</v>
      </c>
      <c r="I7" s="20" t="n">
        <v>2</v>
      </c>
      <c r="J7" s="21">
        <f>SUM(G7:I7)</f>
        <v/>
      </c>
      <c r="K7" s="19" t="inlineStr">
        <is>
          <t>Fast bulk marking UX, mark-all, offline queue with sync.</t>
        </is>
      </c>
    </row>
    <row r="8">
      <c r="A8" s="18" t="n">
        <v>4</v>
      </c>
      <c r="B8" s="19" t="inlineStr">
        <is>
          <t>Attendance Correction / Amendment Request</t>
        </is>
      </c>
      <c r="C8" s="19" t="inlineStr">
        <is>
          <t>Not in web portal</t>
        </is>
      </c>
      <c r="D8" s="19" t="inlineStr">
        <is>
          <t>None</t>
        </is>
      </c>
      <c r="E8" s="25" t="inlineStr">
        <is>
          <t>Missing</t>
        </is>
      </c>
      <c r="F8" s="18" t="inlineStr">
        <is>
          <t>M</t>
        </is>
      </c>
      <c r="G8" s="20" t="n">
        <v>2</v>
      </c>
      <c r="H8" s="20" t="n">
        <v>3</v>
      </c>
      <c r="I8" s="20" t="n">
        <v>1</v>
      </c>
      <c r="J8" s="21">
        <f>SUM(G8:I8)</f>
        <v/>
      </c>
      <c r="K8" s="19" t="inlineStr">
        <is>
          <t>New backend: request doctype, approval workflow, APIs.</t>
        </is>
      </c>
    </row>
    <row r="9">
      <c r="A9" s="18" t="n">
        <v>5</v>
      </c>
      <c r="B9" s="19" t="inlineStr">
        <is>
          <t>Marks &amp; Assessment Entry</t>
        </is>
      </c>
      <c r="C9" s="19" t="inlineStr">
        <is>
          <t>faculty-portal/marks.py</t>
        </is>
      </c>
      <c r="D9" s="19" t="inlineStr">
        <is>
          <t>faculty_assessment_marks.* (5), faculty_grades.* (11), save_student_marks</t>
        </is>
      </c>
      <c r="E9" s="23" t="inlineStr">
        <is>
          <t>Ready</t>
        </is>
      </c>
      <c r="F9" s="18" t="inlineStr">
        <is>
          <t>L</t>
        </is>
      </c>
      <c r="G9" s="20" t="n">
        <v>5</v>
      </c>
      <c r="H9" s="20" t="n">
        <v>0.5</v>
      </c>
      <c r="I9" s="20" t="n">
        <v>2</v>
      </c>
      <c r="J9" s="21">
        <f>SUM(G9:I9)</f>
        <v/>
      </c>
      <c r="K9" s="19" t="inlineStr">
        <is>
          <t>Grid entry on small screens is the hardest UX in the app; validation and draft save.</t>
        </is>
      </c>
    </row>
    <row r="10">
      <c r="A10" s="18" t="n">
        <v>6</v>
      </c>
      <c r="B10" s="19" t="inlineStr">
        <is>
          <t>Student Leave &amp; Condonation / Excuse Review &amp; Recommendation</t>
        </is>
      </c>
      <c r="C10" s="19" t="inlineStr">
        <is>
          <t>faculty-portal/index.py (drilldowns)</t>
        </is>
      </c>
      <c r="D10" s="19" t="inlineStr">
        <is>
          <t>drilldown_condonation, save_condonation_recommendation</t>
        </is>
      </c>
      <c r="E10" s="22" t="inlineStr">
        <is>
          <t>Partial</t>
        </is>
      </c>
      <c r="F10" s="18" t="inlineStr">
        <is>
          <t>M</t>
        </is>
      </c>
      <c r="G10" s="20" t="n">
        <v>2.5</v>
      </c>
      <c r="H10" s="20" t="n">
        <v>1</v>
      </c>
      <c r="I10" s="20" t="n">
        <v>1</v>
      </c>
      <c r="J10" s="21">
        <f>SUM(G10:I10)</f>
        <v/>
      </c>
      <c r="K10" s="19" t="inlineStr">
        <is>
          <t>Leave review list needs an endpoint; attachment preview.</t>
        </is>
      </c>
    </row>
    <row r="11">
      <c r="A11" s="18" t="n">
        <v>7</v>
      </c>
      <c r="B11" s="19" t="inlineStr">
        <is>
          <t>Weekly Timetable &amp; Academic Calendar View</t>
        </is>
      </c>
      <c r="C11" s="19" t="inlineStr">
        <is>
          <t>faculty-portal/my_classes.py</t>
        </is>
      </c>
      <c r="D11" s="19" t="inlineStr">
        <is>
          <t>get_faculty_calendar</t>
        </is>
      </c>
      <c r="E11" s="23" t="inlineStr">
        <is>
          <t>Ready</t>
        </is>
      </c>
      <c r="F11" s="18" t="inlineStr">
        <is>
          <t>S</t>
        </is>
      </c>
      <c r="G11" s="20" t="n">
        <v>1.5</v>
      </c>
      <c r="H11" s="20" t="n">
        <v>0.25</v>
      </c>
      <c r="I11" s="20" t="n">
        <v>0.5</v>
      </c>
      <c r="J11" s="21">
        <f>SUM(G11:I11)</f>
        <v/>
      </c>
      <c r="K11" s="19" t="inlineStr">
        <is>
          <t>Reuses the Student calendar widget.</t>
        </is>
      </c>
    </row>
    <row r="12">
      <c r="A12" s="18" t="n">
        <v>8</v>
      </c>
      <c r="B12" s="19" t="inlineStr">
        <is>
          <t>Campus Venue Booking</t>
        </is>
      </c>
      <c r="C12" s="19" t="inlineStr">
        <is>
          <t>faculty-portal/venue_booking.py</t>
        </is>
      </c>
      <c r="D12" s="19" t="inlineStr">
        <is>
          <t>create_venue_booking, check_room_availability</t>
        </is>
      </c>
      <c r="E12" s="23" t="inlineStr">
        <is>
          <t>Ready</t>
        </is>
      </c>
      <c r="F12" s="18" t="inlineStr">
        <is>
          <t>M</t>
        </is>
      </c>
      <c r="G12" s="20" t="n">
        <v>2</v>
      </c>
      <c r="H12" s="20" t="n">
        <v>0.5</v>
      </c>
      <c r="I12" s="20" t="n">
        <v>1</v>
      </c>
      <c r="J12" s="21">
        <f>SUM(G12:I12)</f>
        <v/>
      </c>
      <c r="K12" s="19" t="inlineStr">
        <is>
          <t>Reuses Student venue booking widgets.</t>
        </is>
      </c>
    </row>
    <row r="13">
      <c r="A13" s="18" t="n">
        <v>9</v>
      </c>
      <c r="B13" s="19" t="inlineStr">
        <is>
          <t>Course Announcements to Students</t>
        </is>
      </c>
      <c r="C13" s="19" t="inlineStr">
        <is>
          <t>faculty-portal/communication.py</t>
        </is>
      </c>
      <c r="D13" s="19" t="inlineStr">
        <is>
          <t>None (get_context only)</t>
        </is>
      </c>
      <c r="E13" s="22" t="inlineStr">
        <is>
          <t>Partial</t>
        </is>
      </c>
      <c r="F13" s="18" t="inlineStr">
        <is>
          <t>M</t>
        </is>
      </c>
      <c r="G13" s="20" t="n">
        <v>2</v>
      </c>
      <c r="H13" s="20" t="n">
        <v>1</v>
      </c>
      <c r="I13" s="20" t="n">
        <v>0.5</v>
      </c>
      <c r="J13" s="21">
        <f>SUM(G13:I13)</f>
        <v/>
      </c>
      <c r="K13" s="19" t="inlineStr">
        <is>
          <t>Compose/list endpoint; triggers student push notification.</t>
        </is>
      </c>
    </row>
    <row r="14">
      <c r="A14" s="18" t="n">
        <v>10</v>
      </c>
      <c r="B14" s="19" t="inlineStr">
        <is>
          <t>Helpdesk (WebView)</t>
        </is>
      </c>
      <c r="C14" s="19" t="inlineStr">
        <is>
          <t>faculty-portal/support.html (iframe)</t>
        </is>
      </c>
      <c r="D14" s="19" t="inlineStr">
        <is>
          <t>Helpdesk app</t>
        </is>
      </c>
      <c r="E14" s="22" t="inlineStr">
        <is>
          <t>Partial</t>
        </is>
      </c>
      <c r="F14" s="18" t="inlineStr">
        <is>
          <t>S</t>
        </is>
      </c>
      <c r="G14" s="20" t="n">
        <v>0.5</v>
      </c>
      <c r="H14" s="20" t="n">
        <v>0.25</v>
      </c>
      <c r="I14" s="20" t="n">
        <v>0.5</v>
      </c>
      <c r="J14" s="21">
        <f>SUM(G14:I14)</f>
        <v/>
      </c>
      <c r="K14" s="19" t="inlineStr"/>
    </row>
    <row r="15">
      <c r="A15" s="18" t="n">
        <v>11</v>
      </c>
      <c r="B15" s="19" t="inlineStr">
        <is>
          <t>Profile, Settings &amp; Change Password</t>
        </is>
      </c>
      <c r="C15" s="19" t="inlineStr">
        <is>
          <t>faculty-portal/profile.py, settings.py</t>
        </is>
      </c>
      <c r="D15" s="19" t="inlineStr">
        <is>
          <t>update_profile, change_password, save_preferences</t>
        </is>
      </c>
      <c r="E15" s="23" t="inlineStr">
        <is>
          <t>Ready</t>
        </is>
      </c>
      <c r="F15" s="18" t="inlineStr">
        <is>
          <t>S</t>
        </is>
      </c>
      <c r="G15" s="20" t="n">
        <v>1.5</v>
      </c>
      <c r="H15" s="20" t="n">
        <v>0</v>
      </c>
      <c r="I15" s="20" t="n">
        <v>0.5</v>
      </c>
      <c r="J15" s="21">
        <f>SUM(G15:I15)</f>
        <v/>
      </c>
      <c r="K15" s="19" t="inlineStr">
        <is>
          <t>Not in the requested list, but needed in any mobile app.</t>
        </is>
      </c>
    </row>
    <row r="16">
      <c r="A16" s="24" t="n"/>
      <c r="B16" s="12" t="inlineStr">
        <is>
          <t>Module total</t>
        </is>
      </c>
      <c r="C16" s="24" t="n"/>
      <c r="D16" s="24" t="n"/>
      <c r="E16" s="24" t="n"/>
      <c r="F16" s="24" t="n"/>
      <c r="G16" s="14">
        <f>SUM(G5:G15)</f>
        <v/>
      </c>
      <c r="H16" s="14">
        <f>SUM(H5:H15)</f>
        <v/>
      </c>
      <c r="I16" s="14">
        <f>SUM(I5:I15)</f>
        <v/>
      </c>
      <c r="J16" s="14">
        <f>SUM(J5:J15)</f>
        <v/>
      </c>
      <c r="K16" s="24" t="n"/>
    </row>
  </sheetData>
  <autoFilter ref="A4:K15"/>
  <dataValidations count="2">
    <dataValidation sqref="E5 E6 E7 E8 E9 E10 E11 E12 E13 E14 E15" showDropDown="0" showInputMessage="0" showErrorMessage="0" allowBlank="1" type="list">
      <formula1>"Ready,Partial,Missing,-"</formula1>
    </dataValidation>
    <dataValidation sqref="F5 F6 F7 F8 F9 F10 F11 F12 F13 F14 F15" showDropDown="0" showInputMessage="0" showErrorMessage="0" allowBlank="1" type="list">
      <formula1>"S,M,L,-"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8" customWidth="1" min="4" max="4"/>
    <col width="13" customWidth="1" min="5" max="5"/>
    <col width="11" customWidth="1" min="6" max="6"/>
    <col width="12" customWidth="1" min="7" max="7"/>
    <col width="13" customWidth="1" min="8" max="8"/>
    <col width="13" customWidth="1" min="9" max="9"/>
    <col width="11" customWidth="1" min="10" max="10"/>
    <col width="55" customWidth="1" min="11" max="11"/>
  </cols>
  <sheetData>
    <row r="1">
      <c r="A1" s="17" t="inlineStr">
        <is>
          <t>Parent Portal: Flutter Mobile App Effort Estimate</t>
        </is>
      </c>
    </row>
    <row r="2">
      <c r="A2" s="2" t="inlineStr">
        <is>
          <t>Effort in person-days. Yellow cells are estimates you can change; totals recalculate.</t>
        </is>
      </c>
    </row>
    <row r="4" ht="32" customHeight="1">
      <c r="A4" s="8" t="inlineStr">
        <is>
          <t>#</t>
        </is>
      </c>
      <c r="B4" s="8" t="inlineStr">
        <is>
          <t>Feature</t>
        </is>
      </c>
      <c r="C4" s="8" t="inlineStr">
        <is>
          <t>Web source</t>
        </is>
      </c>
      <c r="D4" s="8" t="inlineStr">
        <is>
          <t>Existing API(s)</t>
        </is>
      </c>
      <c r="E4" s="8" t="inlineStr">
        <is>
          <t>API readiness</t>
        </is>
      </c>
      <c r="F4" s="8" t="inlineStr">
        <is>
          <t>Complexity</t>
        </is>
      </c>
      <c r="G4" s="8" t="inlineStr">
        <is>
          <t>Flutter UI (days)</t>
        </is>
      </c>
      <c r="H4" s="8" t="inlineStr">
        <is>
          <t>Backend / API (days)</t>
        </is>
      </c>
      <c r="I4" s="8" t="inlineStr">
        <is>
          <t>QA &amp; Integration (days)</t>
        </is>
      </c>
      <c r="J4" s="8" t="inlineStr">
        <is>
          <t>Total (days)</t>
        </is>
      </c>
      <c r="K4" s="8" t="inlineStr">
        <is>
          <t>Notes</t>
        </is>
      </c>
    </row>
    <row r="5">
      <c r="A5" s="18" t="n">
        <v>1</v>
      </c>
      <c r="B5" s="19" t="inlineStr">
        <is>
          <t>Multi-Ward Switcher (if more than one child enrolled)</t>
        </is>
      </c>
      <c r="C5" s="19" t="inlineStr">
        <is>
          <t>parent-portal (single ward only)</t>
        </is>
      </c>
      <c r="D5" s="19" t="inlineStr">
        <is>
          <t>None</t>
        </is>
      </c>
      <c r="E5" s="25" t="inlineStr">
        <is>
          <t>Missing</t>
        </is>
      </c>
      <c r="F5" s="18" t="inlineStr">
        <is>
          <t>M</t>
        </is>
      </c>
      <c r="G5" s="20" t="n">
        <v>2</v>
      </c>
      <c r="H5" s="20" t="n">
        <v>2</v>
      </c>
      <c r="I5" s="20" t="n">
        <v>1</v>
      </c>
      <c r="J5" s="21">
        <f>SUM(G5:I5)</f>
        <v/>
      </c>
      <c r="K5" s="19" t="inlineStr">
        <is>
          <t>Web shows one ward. Backend must list all wards for a guardian and scope every parent API by ward.</t>
        </is>
      </c>
    </row>
    <row r="6">
      <c r="A6" s="18" t="n">
        <v>2</v>
      </c>
      <c r="B6" s="19" t="inlineStr">
        <is>
          <t>Ward Academic Overview: Programme, Batch, CGPA</t>
        </is>
      </c>
      <c r="C6" s="19" t="inlineStr">
        <is>
          <t>parent-portal/index.py</t>
        </is>
      </c>
      <c r="D6" s="19" t="inlineStr">
        <is>
          <t>None (get_context only)</t>
        </is>
      </c>
      <c r="E6" s="22" t="inlineStr">
        <is>
          <t>Partial</t>
        </is>
      </c>
      <c r="F6" s="18" t="inlineStr">
        <is>
          <t>S</t>
        </is>
      </c>
      <c r="G6" s="20" t="n">
        <v>2</v>
      </c>
      <c r="H6" s="20" t="n">
        <v>1</v>
      </c>
      <c r="I6" s="20" t="n">
        <v>0.5</v>
      </c>
      <c r="J6" s="21">
        <f>SUM(G6:I6)</f>
        <v/>
      </c>
      <c r="K6" s="19" t="inlineStr"/>
    </row>
    <row r="7">
      <c r="A7" s="18" t="n">
        <v>3</v>
      </c>
      <c r="B7" s="19" t="inlineStr">
        <is>
          <t>Course-wise Attendance Monitoring with Low-Attendance Alerts</t>
        </is>
      </c>
      <c r="C7" s="19" t="inlineStr">
        <is>
          <t>parent-portal/attendance.py</t>
        </is>
      </c>
      <c r="D7" s="19" t="inlineStr">
        <is>
          <t>None (get_context only)</t>
        </is>
      </c>
      <c r="E7" s="22" t="inlineStr">
        <is>
          <t>Partial</t>
        </is>
      </c>
      <c r="F7" s="18" t="inlineStr">
        <is>
          <t>M</t>
        </is>
      </c>
      <c r="G7" s="20" t="n">
        <v>1.5</v>
      </c>
      <c r="H7" s="20" t="n">
        <v>1.5</v>
      </c>
      <c r="I7" s="20" t="n">
        <v>0.5</v>
      </c>
      <c r="J7" s="21">
        <f>SUM(G7:I7)</f>
        <v/>
      </c>
      <c r="K7" s="19" t="inlineStr">
        <is>
          <t>Reuses Student attendance widgets; push alert to parent.</t>
        </is>
      </c>
    </row>
    <row r="8">
      <c r="A8" s="18" t="n">
        <v>4</v>
      </c>
      <c r="B8" s="19" t="inlineStr">
        <is>
          <t>Ward Daily &amp; Weekly Timetable (Read-Only)</t>
        </is>
      </c>
      <c r="C8" s="19" t="inlineStr">
        <is>
          <t>Not in parent web portal</t>
        </is>
      </c>
      <c r="D8" s="19" t="inlineStr">
        <is>
          <t>get_student_calendar (student-scoped)</t>
        </is>
      </c>
      <c r="E8" s="25" t="inlineStr">
        <is>
          <t>Missing</t>
        </is>
      </c>
      <c r="F8" s="18" t="inlineStr">
        <is>
          <t>S</t>
        </is>
      </c>
      <c r="G8" s="20" t="n">
        <v>1</v>
      </c>
      <c r="H8" s="20" t="n">
        <v>1</v>
      </c>
      <c r="I8" s="20" t="n">
        <v>0.5</v>
      </c>
      <c r="J8" s="21">
        <f>SUM(G8:I8)</f>
        <v/>
      </c>
      <c r="K8" s="19" t="inlineStr">
        <is>
          <t>Reuses calendar widget; backend must allow guardian access to ward calendar.</t>
        </is>
      </c>
    </row>
    <row r="9">
      <c r="A9" s="18" t="n">
        <v>5</v>
      </c>
      <c r="B9" s="19" t="inlineStr">
        <is>
          <t>Campus Gate Entry</t>
        </is>
      </c>
      <c r="C9" s="19" t="inlineStr">
        <is>
          <t>Not in web portal</t>
        </is>
      </c>
      <c r="D9" s="19" t="inlineStr">
        <is>
          <t>None</t>
        </is>
      </c>
      <c r="E9" s="25" t="inlineStr">
        <is>
          <t>Missing</t>
        </is>
      </c>
      <c r="F9" s="18" t="inlineStr">
        <is>
          <t>M</t>
        </is>
      </c>
      <c r="G9" s="20" t="n">
        <v>2</v>
      </c>
      <c r="H9" s="20" t="n">
        <v>3</v>
      </c>
      <c r="I9" s="20" t="n">
        <v>1</v>
      </c>
      <c r="J9" s="21">
        <f>SUM(G9:I9)</f>
        <v/>
      </c>
      <c r="K9" s="19" t="inlineStr">
        <is>
          <t>Assumed: ward's gate entry/exit log from RFID data. Scope must be confirmed.</t>
        </is>
      </c>
    </row>
    <row r="10">
      <c r="A10" s="18" t="n">
        <v>6</v>
      </c>
      <c r="B10" s="19" t="inlineStr">
        <is>
          <t>Fee Statement &amp; Outstanding Dues</t>
        </is>
      </c>
      <c r="C10" s="19" t="inlineStr">
        <is>
          <t>parent-portal/fees.py</t>
        </is>
      </c>
      <c r="D10" s="19" t="inlineStr">
        <is>
          <t>parent_get_invoice_summary</t>
        </is>
      </c>
      <c r="E10" s="22" t="inlineStr">
        <is>
          <t>Partial</t>
        </is>
      </c>
      <c r="F10" s="18" t="inlineStr">
        <is>
          <t>M</t>
        </is>
      </c>
      <c r="G10" s="20" t="n">
        <v>2.5</v>
      </c>
      <c r="H10" s="20" t="n">
        <v>0.5</v>
      </c>
      <c r="I10" s="20" t="n">
        <v>1</v>
      </c>
      <c r="J10" s="21">
        <f>SUM(G10:I10)</f>
        <v/>
      </c>
      <c r="K10" s="19" t="inlineStr"/>
    </row>
    <row r="11">
      <c r="A11" s="18" t="n">
        <v>7</v>
      </c>
      <c r="B11" s="19" t="inlineStr">
        <is>
          <t>Online Fee Payment (UPI, Card, Net Banking)</t>
        </is>
      </c>
      <c r="C11" s="19" t="inlineStr">
        <is>
          <t>parent-portal/fees.html</t>
        </is>
      </c>
      <c r="D11" s="19" t="inlineStr">
        <is>
          <t>parent_create_payment_order, parent_confirm_fee_payment, parent_*_demand_payment</t>
        </is>
      </c>
      <c r="E11" s="23" t="inlineStr">
        <is>
          <t>Ready</t>
        </is>
      </c>
      <c r="F11" s="18" t="inlineStr">
        <is>
          <t>M</t>
        </is>
      </c>
      <c r="G11" s="20" t="n">
        <v>2</v>
      </c>
      <c r="H11" s="20" t="n">
        <v>0.5</v>
      </c>
      <c r="I11" s="20" t="n">
        <v>1.5</v>
      </c>
      <c r="J11" s="21">
        <f>SUM(G11:I11)</f>
        <v/>
      </c>
      <c r="K11" s="19" t="inlineStr">
        <is>
          <t>Uses shared Razorpay module.</t>
        </is>
      </c>
    </row>
    <row r="12">
      <c r="A12" s="18" t="n">
        <v>8</v>
      </c>
      <c r="B12" s="19" t="inlineStr">
        <is>
          <t>Payment Receipt Download</t>
        </is>
      </c>
      <c r="C12" s="19" t="inlineStr">
        <is>
          <t>parent-portal/fees.html</t>
        </is>
      </c>
      <c r="D12" s="19" t="inlineStr">
        <is>
          <t>parent_download_fee_receipt, parent_download_fee_invoice</t>
        </is>
      </c>
      <c r="E12" s="23" t="inlineStr">
        <is>
          <t>Ready</t>
        </is>
      </c>
      <c r="F12" s="18" t="inlineStr">
        <is>
          <t>S</t>
        </is>
      </c>
      <c r="G12" s="20" t="n">
        <v>0.5</v>
      </c>
      <c r="H12" s="20" t="n">
        <v>0</v>
      </c>
      <c r="I12" s="20" t="n">
        <v>0.5</v>
      </c>
      <c r="J12" s="21">
        <f>SUM(G12:I12)</f>
        <v/>
      </c>
      <c r="K12" s="19" t="inlineStr"/>
    </row>
    <row r="13">
      <c r="A13" s="18" t="n">
        <v>9</v>
      </c>
      <c r="B13" s="19" t="inlineStr">
        <is>
          <t>Ward Academic Results &amp; Grade History</t>
        </is>
      </c>
      <c r="C13" s="19" t="inlineStr">
        <is>
          <t>parent-portal/results.py</t>
        </is>
      </c>
      <c r="D13" s="19" t="inlineStr">
        <is>
          <t>None (get_context only)</t>
        </is>
      </c>
      <c r="E13" s="22" t="inlineStr">
        <is>
          <t>Partial</t>
        </is>
      </c>
      <c r="F13" s="18" t="inlineStr">
        <is>
          <t>S</t>
        </is>
      </c>
      <c r="G13" s="20" t="n">
        <v>2</v>
      </c>
      <c r="H13" s="20" t="n">
        <v>1</v>
      </c>
      <c r="I13" s="20" t="n">
        <v>0.5</v>
      </c>
      <c r="J13" s="21">
        <f>SUM(G13:I13)</f>
        <v/>
      </c>
      <c r="K13" s="19" t="inlineStr">
        <is>
          <t>Reuses Student results widgets.</t>
        </is>
      </c>
    </row>
    <row r="14">
      <c r="A14" s="18" t="n">
        <v>10</v>
      </c>
      <c r="B14" s="19" t="inlineStr">
        <is>
          <t>Hostel Room &amp; Warden Contact Details</t>
        </is>
      </c>
      <c r="C14" s="19" t="inlineStr">
        <is>
          <t>Not in parent web portal</t>
        </is>
      </c>
      <c r="D14" s="19" t="inlineStr">
        <is>
          <t>None</t>
        </is>
      </c>
      <c r="E14" s="25" t="inlineStr">
        <is>
          <t>Missing</t>
        </is>
      </c>
      <c r="F14" s="18" t="inlineStr">
        <is>
          <t>S</t>
        </is>
      </c>
      <c r="G14" s="20" t="n">
        <v>1</v>
      </c>
      <c r="H14" s="20" t="n">
        <v>1</v>
      </c>
      <c r="I14" s="20" t="n">
        <v>0.5</v>
      </c>
      <c r="J14" s="21">
        <f>SUM(G14:I14)</f>
        <v/>
      </c>
      <c r="K14" s="19" t="inlineStr">
        <is>
          <t>Expose ward hostel data to guardian; tap-to-call warden.</t>
        </is>
      </c>
    </row>
    <row r="15">
      <c r="A15" s="18" t="n">
        <v>11</v>
      </c>
      <c r="B15" s="19" t="inlineStr">
        <is>
          <t>University Notices &amp; Parent Circulars</t>
        </is>
      </c>
      <c r="C15" s="19" t="inlineStr">
        <is>
          <t>Not in parent web portal</t>
        </is>
      </c>
      <c r="D15" s="19" t="inlineStr">
        <is>
          <t>None</t>
        </is>
      </c>
      <c r="E15" s="25" t="inlineStr">
        <is>
          <t>Missing</t>
        </is>
      </c>
      <c r="F15" s="18" t="inlineStr">
        <is>
          <t>M</t>
        </is>
      </c>
      <c r="G15" s="20" t="n">
        <v>1.5</v>
      </c>
      <c r="H15" s="20" t="n">
        <v>1.5</v>
      </c>
      <c r="I15" s="20" t="n">
        <v>0.5</v>
      </c>
      <c r="J15" s="21">
        <f>SUM(G15:I15)</f>
        <v/>
      </c>
      <c r="K15" s="19" t="inlineStr">
        <is>
          <t>Needs audience targeting for parents (new field or doctype).</t>
        </is>
      </c>
    </row>
    <row r="16">
      <c r="A16" s="18" t="n">
        <v>12</v>
      </c>
      <c r="B16" s="19" t="inlineStr">
        <is>
          <t>Helpdesk (WebView)</t>
        </is>
      </c>
      <c r="C16" s="19" t="inlineStr">
        <is>
          <t>No parent support page found</t>
        </is>
      </c>
      <c r="D16" s="19" t="inlineStr">
        <is>
          <t>Helpdesk app</t>
        </is>
      </c>
      <c r="E16" s="22" t="inlineStr">
        <is>
          <t>Partial</t>
        </is>
      </c>
      <c r="F16" s="18" t="inlineStr">
        <is>
          <t>S</t>
        </is>
      </c>
      <c r="G16" s="20" t="n">
        <v>0.5</v>
      </c>
      <c r="H16" s="20" t="n">
        <v>0.5</v>
      </c>
      <c r="I16" s="20" t="n">
        <v>0.5</v>
      </c>
      <c r="J16" s="21">
        <f>SUM(G16:I16)</f>
        <v/>
      </c>
      <c r="K16" s="19" t="inlineStr">
        <is>
          <t>Guardian users need helpdesk access configured.</t>
        </is>
      </c>
    </row>
    <row r="17">
      <c r="A17" s="24" t="n"/>
      <c r="B17" s="12" t="inlineStr">
        <is>
          <t>Module total</t>
        </is>
      </c>
      <c r="C17" s="24" t="n"/>
      <c r="D17" s="24" t="n"/>
      <c r="E17" s="24" t="n"/>
      <c r="F17" s="24" t="n"/>
      <c r="G17" s="14">
        <f>SUM(G5:G16)</f>
        <v/>
      </c>
      <c r="H17" s="14">
        <f>SUM(H5:H16)</f>
        <v/>
      </c>
      <c r="I17" s="14">
        <f>SUM(I5:I16)</f>
        <v/>
      </c>
      <c r="J17" s="14">
        <f>SUM(J5:J16)</f>
        <v/>
      </c>
      <c r="K17" s="24" t="n"/>
    </row>
  </sheetData>
  <autoFilter ref="A4:K16"/>
  <dataValidations count="2">
    <dataValidation sqref="E5 E6 E7 E8 E9 E10 E11 E12 E13 E14 E15 E16" showDropDown="0" showInputMessage="0" showErrorMessage="0" allowBlank="1" type="list">
      <formula1>"Ready,Partial,Missing,-"</formula1>
    </dataValidation>
    <dataValidation sqref="F5 F6 F7 F8 F9 F10 F11 F12 F13 F14 F15 F16" showDropDown="0" showInputMessage="0" showErrorMessage="0" allowBlank="1" type="list">
      <formula1>"S,M,L,-"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0" customWidth="1" min="3" max="3"/>
  </cols>
  <sheetData>
    <row r="1">
      <c r="A1" s="17" t="inlineStr">
        <is>
          <t>Assumptions, Exclusions &amp; Risks</t>
        </is>
      </c>
    </row>
    <row r="3">
      <c r="A3" s="26" t="inlineStr">
        <is>
          <t>#</t>
        </is>
      </c>
      <c r="B3" s="26" t="inlineStr">
        <is>
          <t>Type</t>
        </is>
      </c>
      <c r="C3" s="26" t="inlineStr">
        <is>
          <t>Detail</t>
        </is>
      </c>
    </row>
    <row r="4">
      <c r="A4" s="19" t="n">
        <v>1</v>
      </c>
      <c r="B4" s="19" t="inlineStr">
        <is>
          <t>Assumption</t>
        </is>
      </c>
      <c r="C4" s="19" t="inlineStr">
        <is>
          <t>One Flutter app for all three roles; the role is decided at login. Android and iOS from the same codebase.</t>
        </is>
      </c>
    </row>
    <row r="5">
      <c r="A5" s="19" t="n">
        <v>2</v>
      </c>
      <c r="B5" s="19" t="inlineStr">
        <is>
          <t>Assumption</t>
        </is>
      </c>
      <c r="C5" s="19" t="inlineStr">
        <is>
          <t>The Frappe backend stays the system of record. The mobile app calls whitelisted /api/method endpoints with token authentication.</t>
        </is>
      </c>
    </row>
    <row r="6">
      <c r="A6" s="19" t="n">
        <v>3</v>
      </c>
      <c r="B6" s="19" t="inlineStr">
        <is>
          <t>Assumption</t>
        </is>
      </c>
      <c r="C6" s="19" t="inlineStr">
        <is>
          <t>Helpdesk is delivered as an authenticated WebView of the existing /helpdesk portal (same approach as today's iframe). A fully native helpdesk would add about 12 to 15 days.</t>
        </is>
      </c>
    </row>
    <row r="7">
      <c r="A7" s="19" t="n">
        <v>4</v>
      </c>
      <c r="B7" s="19" t="inlineStr">
        <is>
          <t>Assumption</t>
        </is>
      </c>
      <c r="C7" s="19" t="inlineStr">
        <is>
          <t>Payments use the Razorpay Flutter SDK with the existing order/confirm endpoints and webhook.</t>
        </is>
      </c>
    </row>
    <row r="8">
      <c r="A8" s="19" t="n">
        <v>5</v>
      </c>
      <c r="B8" s="19" t="inlineStr">
        <is>
          <t>Assumption</t>
        </is>
      </c>
      <c r="C8" s="19" t="inlineStr">
        <is>
          <t>Feature estimates are sized for an experienced developer, then multiplied by the junior productivity factor (1.5x) for this team of 2 junior developers.</t>
        </is>
      </c>
    </row>
    <row r="9">
      <c r="A9" s="19" t="n">
        <v>6</v>
      </c>
      <c r="B9" s="19" t="inlineStr">
        <is>
          <t>Assumption</t>
        </is>
      </c>
      <c r="C9" s="19" t="inlineStr">
        <is>
          <t>The 2 developers do all work: Flutter screens, backend APIs, testing and store release. There is no separate QA, designer or backend developer.</t>
        </is>
      </c>
    </row>
    <row r="10">
      <c r="A10" s="19" t="n">
        <v>7</v>
      </c>
      <c r="B10" s="19" t="inlineStr">
        <is>
          <t>Assumption</t>
        </is>
      </c>
      <c r="C10" s="19" t="inlineStr">
        <is>
          <t>Each developer gets 10 days of ramp-up to learn Flutter, the Frappe APIs, the Razorpay SDK and store release.</t>
        </is>
      </c>
    </row>
    <row r="11">
      <c r="A11" s="19" t="n">
        <v>8</v>
      </c>
      <c r="B11" s="19" t="inlineStr">
        <is>
          <t>Assumption</t>
        </is>
      </c>
      <c r="C11" s="19" t="inlineStr">
        <is>
          <t>Mobile screens follow the existing web portal design, so no separate UI/UX designer is needed.</t>
        </is>
      </c>
    </row>
    <row r="12">
      <c r="A12" s="19" t="n">
        <v>9</v>
      </c>
      <c r="B12" s="19" t="inlineStr">
        <is>
          <t>Exclusion</t>
        </is>
      </c>
      <c r="C12" s="19" t="inlineStr">
        <is>
          <t>Placement, Transcript Request, Fee Certificate, Enrollment and Documents pages that exist in the web portal but are not in the requested scope.</t>
        </is>
      </c>
    </row>
    <row r="13">
      <c r="A13" s="19" t="n">
        <v>10</v>
      </c>
      <c r="B13" s="19" t="inlineStr">
        <is>
          <t>Exclusion</t>
        </is>
      </c>
      <c r="C13" s="19" t="inlineStr">
        <is>
          <t>Admin/staff features, tablet-specific layouts, multiple languages, Apple/Google developer account fees.</t>
        </is>
      </c>
    </row>
    <row r="14">
      <c r="A14" s="19" t="n">
        <v>11</v>
      </c>
      <c r="B14" s="19" t="inlineStr">
        <is>
          <t>Risk</t>
        </is>
      </c>
      <c r="C14" s="19" t="inlineStr">
        <is>
          <t>Many read screens rely on get_context. Each needs a new JSON endpoint; logic must be shared with the web page to avoid two versions drifting apart.</t>
        </is>
      </c>
    </row>
    <row r="15">
      <c r="A15" s="19" t="n">
        <v>12</v>
      </c>
      <c r="B15" s="19" t="inlineStr">
        <is>
          <t>Risk</t>
        </is>
      </c>
      <c r="C15" s="19" t="inlineStr">
        <is>
          <t>Campus Gate Entry scope is undefined (view logs, QR pass, or live alerts). Estimated as a read-only log from RFID data.</t>
        </is>
      </c>
    </row>
    <row r="16">
      <c r="A16" s="19" t="n">
        <v>13</v>
      </c>
      <c r="B16" s="19" t="inlineStr">
        <is>
          <t>Risk</t>
        </is>
      </c>
      <c r="C16" s="19" t="inlineStr">
        <is>
          <t>Parent portal currently supports a single ward. Multi-ward needs changes to every parent endpoint's permission checks.</t>
        </is>
      </c>
    </row>
    <row r="17">
      <c r="A17" s="19" t="n">
        <v>14</v>
      </c>
      <c r="B17" s="19" t="inlineStr">
        <is>
          <t>Risk</t>
        </is>
      </c>
      <c r="C17" s="19" t="inlineStr">
        <is>
          <t>Helpdesk WebView depends on cookie sharing and the helpdesk UI fitting small screens; iOS WebView cookie handling needs early testing.</t>
        </is>
      </c>
    </row>
    <row r="18">
      <c r="A18" s="19" t="n">
        <v>15</v>
      </c>
      <c r="B18" s="19" t="inlineStr">
        <is>
          <t>Risk</t>
        </is>
      </c>
      <c r="C18" s="19" t="inlineStr">
        <is>
          <t>App Store review for apps with payments and login can take several rounds.</t>
        </is>
      </c>
    </row>
    <row r="19">
      <c r="A19" s="19" t="n">
        <v>16</v>
      </c>
      <c r="B19" s="19" t="inlineStr">
        <is>
          <t>Risk</t>
        </is>
      </c>
      <c r="C19" s="19" t="inlineStr">
        <is>
          <t>Junior team without senior review: architecture, security (token storage, payments) and code quality issues may surface late. A senior developer reviewing for about 1 day a week is strongly recommended.</t>
        </is>
      </c>
    </row>
    <row r="20">
      <c r="A20" s="19" t="n">
        <v>17</v>
      </c>
      <c r="B20" s="19" t="inlineStr">
        <is>
          <t>Risk</t>
        </is>
      </c>
      <c r="C20" s="19" t="inlineStr">
        <is>
          <t>With only 2 people, leave, illness or attrition directly delays delivery; there is no backup.</t>
        </is>
      </c>
    </row>
    <row r="21">
      <c r="A21" s="19" t="n">
        <v>18</v>
      </c>
      <c r="B21" s="19" t="inlineStr">
        <is>
          <t>Risk</t>
        </is>
      </c>
      <c r="C21" s="19" t="inlineStr">
        <is>
          <t>Developers testing their own work miss more defects. Plan UAT with real students, faculty and parents before each release.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2026-10-15T10:56:28Z</dcterms:created>
  <dcterms:modified xmlns:dcterms="http://purl.org/dc/terms/" xmlns:xsi="http://www.w3.org/2001/XMLSchema-instance" xsi:type="dcterms:W3CDTF">2026-10-15T10:56:28Z</dcterms:modified>
</cp:coreProperties>
</file>